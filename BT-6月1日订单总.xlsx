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12" sheetId="2" r:id="rId1"/>
    <sheet name="Sheet4" sheetId="26" r:id="rId2"/>
  </sheets>
  <definedNames>
    <definedName name="_xlnm._FilterDatabase" localSheetId="0" hidden="1">'12'!$A$1:$V$228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<sst xmlns="http://schemas.openxmlformats.org/spreadsheetml/2006/main" count="3138" uniqueCount="1548">
  <si>
    <t>订单号</t>
  </si>
  <si>
    <t>日期</t>
  </si>
  <si>
    <t>Design Link</t>
  </si>
  <si>
    <t>sku</t>
  </si>
  <si>
    <t>尺码</t>
  </si>
  <si>
    <t>Color</t>
  </si>
  <si>
    <t>数量</t>
  </si>
  <si>
    <t>定制名</t>
  </si>
  <si>
    <t>单号</t>
  </si>
  <si>
    <t>Shipping Fullname</t>
  </si>
  <si>
    <t>Address</t>
  </si>
  <si>
    <t>City</t>
  </si>
  <si>
    <t>Province</t>
  </si>
  <si>
    <t>Zip</t>
  </si>
  <si>
    <t>Country</t>
  </si>
  <si>
    <t>Phone</t>
  </si>
  <si>
    <t>Mail</t>
  </si>
  <si>
    <t>Customer Note</t>
  </si>
  <si>
    <t>Product ID</t>
  </si>
  <si>
    <t>Week</t>
  </si>
  <si>
    <r>
      <rPr>
        <b/>
        <sz val="14"/>
        <rFont val="微软雅黑"/>
        <charset val="134"/>
      </rPr>
      <t>Các m</t>
    </r>
    <r>
      <rPr>
        <b/>
        <sz val="14"/>
        <rFont val="Calibri"/>
        <charset val="134"/>
      </rPr>
      <t>ụ</t>
    </r>
    <r>
      <rPr>
        <b/>
        <sz val="14"/>
        <rFont val="微软雅黑"/>
        <charset val="134"/>
      </rPr>
      <t>c m</t>
    </r>
    <r>
      <rPr>
        <b/>
        <sz val="14"/>
        <rFont val="Calibri"/>
        <charset val="134"/>
      </rPr>
      <t>ẹ</t>
    </r>
  </si>
  <si>
    <t>Parent items</t>
  </si>
  <si>
    <t>BSK-1347504-US</t>
  </si>
  <si>
    <t>AF1L-BSK-1347504A</t>
  </si>
  <si>
    <t>Men EU45</t>
  </si>
  <si>
    <t>SDH0097342990</t>
  </si>
  <si>
    <t>Norris Crowder</t>
  </si>
  <si>
    <t>7592 Iris Dr</t>
  </si>
  <si>
    <t>Southaven</t>
  </si>
  <si>
    <t>MS</t>
  </si>
  <si>
    <t>38671</t>
  </si>
  <si>
    <t>US</t>
  </si>
  <si>
    <t>mailshopping1969@gmail.com</t>
  </si>
  <si>
    <t>23</t>
  </si>
  <si>
    <t>AF1L-BSK-1347504B</t>
  </si>
  <si>
    <t>BSK-1348087-US</t>
  </si>
  <si>
    <t>AF1L-BSK-1348087A</t>
  </si>
  <si>
    <t>Women EU42</t>
  </si>
  <si>
    <t>SDH0097342993</t>
  </si>
  <si>
    <t>Ifara Seabrook</t>
  </si>
  <si>
    <t>6209 OAKLAND MILLS RD</t>
  </si>
  <si>
    <t>Sykesville</t>
  </si>
  <si>
    <t>MD</t>
  </si>
  <si>
    <t>21784</t>
  </si>
  <si>
    <t>iffy8231978@gmail.com</t>
  </si>
  <si>
    <t>AF1L-BSK-1348087B</t>
  </si>
  <si>
    <t>Men EU46</t>
  </si>
  <si>
    <t>BSK-1348093-US</t>
  </si>
  <si>
    <t>AF1L-BSK-1348093</t>
  </si>
  <si>
    <t>Women EU38</t>
  </si>
  <si>
    <t>SDH0097342996</t>
  </si>
  <si>
    <t>Ayesha Ali</t>
  </si>
  <si>
    <t>214 Brookville Road</t>
  </si>
  <si>
    <t>Glen Head</t>
  </si>
  <si>
    <t>NY</t>
  </si>
  <si>
    <t>11545</t>
  </si>
  <si>
    <t>atame5ster@gmail.com</t>
  </si>
  <si>
    <t>BSK-1348105-US</t>
  </si>
  <si>
    <t>DUNKL-BSK-1348105</t>
  </si>
  <si>
    <t>Women EU39</t>
  </si>
  <si>
    <t>SDH0097342997</t>
  </si>
  <si>
    <t>Theodore Fukumoto</t>
  </si>
  <si>
    <t>2015 Bonita Ave</t>
  </si>
  <si>
    <t>Burbank</t>
  </si>
  <si>
    <t>CA</t>
  </si>
  <si>
    <t>91504</t>
  </si>
  <si>
    <t>foulhole@gmail.com</t>
  </si>
  <si>
    <t>BSK-1348205-US</t>
  </si>
  <si>
    <t>AF1L-BSK-1348205</t>
  </si>
  <si>
    <t>Men EU47</t>
  </si>
  <si>
    <t>SDH0097342989</t>
  </si>
  <si>
    <t>Tim Townsley</t>
  </si>
  <si>
    <t>1417 S Circle St</t>
  </si>
  <si>
    <t>Sealy</t>
  </si>
  <si>
    <t>TX</t>
  </si>
  <si>
    <t>77474</t>
  </si>
  <si>
    <t>tm_townsley@yahoo.com</t>
  </si>
  <si>
    <t>BSK-1348213-US</t>
  </si>
  <si>
    <t>AF1L-BSK-1348213A</t>
  </si>
  <si>
    <t>Men EU42</t>
  </si>
  <si>
    <t>SDH0097342998</t>
  </si>
  <si>
    <t>Iris Hernandez</t>
  </si>
  <si>
    <t>4731 Georges Farm</t>
  </si>
  <si>
    <t>San Antonio</t>
  </si>
  <si>
    <t>78244</t>
  </si>
  <si>
    <t>irislavon1984@gmail.com</t>
  </si>
  <si>
    <t>AF1L-BSK-1348213B</t>
  </si>
  <si>
    <t>BSK-1350926-US</t>
  </si>
  <si>
    <t>DUNKL-BSK-1350926</t>
  </si>
  <si>
    <t>SDH0097342994</t>
  </si>
  <si>
    <t>Hector Ochoa</t>
  </si>
  <si>
    <t>36692 Coleus Way</t>
  </si>
  <si>
    <t>Lake Elsinore</t>
  </si>
  <si>
    <t>92532</t>
  </si>
  <si>
    <t>ochoa.8ahector@gmail.com</t>
  </si>
  <si>
    <t>BSK-1350934-US</t>
  </si>
  <si>
    <t>DUNKL-BSK-1350934</t>
  </si>
  <si>
    <t>SDH0097342995</t>
  </si>
  <si>
    <t>Perry Johnson</t>
  </si>
  <si>
    <t>2230 S Fountain Valley Dr</t>
  </si>
  <si>
    <t>Missouri City</t>
  </si>
  <si>
    <t>77459</t>
  </si>
  <si>
    <t>perryleejohnson@msn.com</t>
  </si>
  <si>
    <t>BSK-1350941-US</t>
  </si>
  <si>
    <t>AF1L-BSK-1350941</t>
  </si>
  <si>
    <t>SDH0097342992</t>
  </si>
  <si>
    <t>Keith Thibodeaux</t>
  </si>
  <si>
    <t>1628 Oak Willow Dr</t>
  </si>
  <si>
    <t>78245</t>
  </si>
  <si>
    <t>ktibb22@gmail.com</t>
  </si>
  <si>
    <t>BSK-1350948-US</t>
  </si>
  <si>
    <t>AF1L-BSK-1350948</t>
  </si>
  <si>
    <t>Women EU36</t>
  </si>
  <si>
    <t>SDH0097342991</t>
  </si>
  <si>
    <t>Jennifer Reed</t>
  </si>
  <si>
    <t>1809 Nw Harvest Dr</t>
  </si>
  <si>
    <t>Grimes</t>
  </si>
  <si>
    <t>IA</t>
  </si>
  <si>
    <t>50111</t>
  </si>
  <si>
    <t>jennifer.klocke@hotmail.com</t>
  </si>
  <si>
    <t>BSK-1350950-US</t>
  </si>
  <si>
    <t>DUNKL-BSK-1350950</t>
  </si>
  <si>
    <t>SDH0097343000</t>
  </si>
  <si>
    <t>Erin Hill-Oban</t>
  </si>
  <si>
    <t>1005 N 1st St</t>
  </si>
  <si>
    <t>Bismarck</t>
  </si>
  <si>
    <t>ND</t>
  </si>
  <si>
    <t>58501</t>
  </si>
  <si>
    <t>erin_hill@hotmail.com</t>
  </si>
  <si>
    <t>BSK-1350954-US</t>
  </si>
  <si>
    <t>DUNKL-BSK-1350954</t>
  </si>
  <si>
    <t>Women EU41</t>
  </si>
  <si>
    <t>SDH0097342999</t>
  </si>
  <si>
    <t>Christine Hill</t>
  </si>
  <si>
    <t>2 Las Alforjas</t>
  </si>
  <si>
    <t>Rancho Santa Margarita</t>
  </si>
  <si>
    <t>92688</t>
  </si>
  <si>
    <t>christine.hill05@gmail.com</t>
  </si>
  <si>
    <t>BSK-1350956-US</t>
  </si>
  <si>
    <t>AF1L-BSK-1350956</t>
  </si>
  <si>
    <t>SDH0097343001</t>
  </si>
  <si>
    <t>Gregory Jackson</t>
  </si>
  <si>
    <t>50 Fremont St, Apt B4</t>
  </si>
  <si>
    <t>Bridgeport</t>
  </si>
  <si>
    <t>CT</t>
  </si>
  <si>
    <t>06605</t>
  </si>
  <si>
    <t>upsgreg.gj@gmail.com</t>
  </si>
  <si>
    <t>BTR-161943-US</t>
  </si>
  <si>
    <t>AF1L-BTR-161943</t>
  </si>
  <si>
    <t>Men EU43</t>
  </si>
  <si>
    <t>SDH0093293182</t>
  </si>
  <si>
    <t>Anthony Lambert</t>
  </si>
  <si>
    <t>369 2nd Street</t>
  </si>
  <si>
    <t>Kotzebue</t>
  </si>
  <si>
    <t>AK</t>
  </si>
  <si>
    <t>99752</t>
  </si>
  <si>
    <t>anthonylambert3333@gmail.com</t>
  </si>
  <si>
    <t>BTR-162004-US</t>
  </si>
  <si>
    <t>3NFL-BTR-162004A</t>
  </si>
  <si>
    <t>3XL</t>
  </si>
  <si>
    <t>SDH0096984582</t>
  </si>
  <si>
    <t>Renee Lopez</t>
  </si>
  <si>
    <t>11400 SE 90th AVE, APT 1422</t>
  </si>
  <si>
    <t>Happy Valley</t>
  </si>
  <si>
    <t>OR</t>
  </si>
  <si>
    <t>97086</t>
  </si>
  <si>
    <t>celicalopez54@gmail.com</t>
  </si>
  <si>
    <t>3NFL-BTR-162004B</t>
  </si>
  <si>
    <t>M</t>
  </si>
  <si>
    <t>BTR-162095-US</t>
  </si>
  <si>
    <t>3NFL-BTR-162095</t>
  </si>
  <si>
    <t>S</t>
  </si>
  <si>
    <t>SDH2000555448</t>
  </si>
  <si>
    <t>Eden Musso</t>
  </si>
  <si>
    <t>1419 NW 62nd Terrace</t>
  </si>
  <si>
    <t>Kansas City</t>
  </si>
  <si>
    <t>MO</t>
  </si>
  <si>
    <t>64118</t>
  </si>
  <si>
    <t>edenmusso@yahoo.com</t>
  </si>
  <si>
    <t>BTR-162096-US</t>
  </si>
  <si>
    <t>3NFL-BTR-162096</t>
  </si>
  <si>
    <t>2XL</t>
  </si>
  <si>
    <t>SDH2000555449</t>
  </si>
  <si>
    <t>Patricia Pineda</t>
  </si>
  <si>
    <t>401 Hill Rd</t>
  </si>
  <si>
    <t>Nashville</t>
  </si>
  <si>
    <t>TN</t>
  </si>
  <si>
    <t>37220</t>
  </si>
  <si>
    <t>patty2loves2821@yahoo.com</t>
  </si>
  <si>
    <t>BTR-162097-US</t>
  </si>
  <si>
    <t>3NFL-BTR-162097A</t>
  </si>
  <si>
    <t>SDH0096984581</t>
  </si>
  <si>
    <t>Bernadine Rebogio</t>
  </si>
  <si>
    <t>8964 Michael Ryan Court</t>
  </si>
  <si>
    <t>Las Vegas</t>
  </si>
  <si>
    <t>NV</t>
  </si>
  <si>
    <t>89149</t>
  </si>
  <si>
    <t>bernr418@yahoo.com</t>
  </si>
  <si>
    <t>3NFL-BTR-162097B</t>
  </si>
  <si>
    <t>BTR-162097-US-C</t>
  </si>
  <si>
    <t>3BCAP-BTR-162097A</t>
  </si>
  <si>
    <t>SDH0096984583</t>
  </si>
  <si>
    <t>3BCAP-BTR-162097B</t>
  </si>
  <si>
    <t>BTR-162099-US</t>
  </si>
  <si>
    <t>3NFL-BTR-162099</t>
  </si>
  <si>
    <t>SDH0096984580</t>
  </si>
  <si>
    <t>Nicole Cardelli</t>
  </si>
  <si>
    <t>3848 Badgerbrook St</t>
  </si>
  <si>
    <t>89129</t>
  </si>
  <si>
    <t>nicocardelli@gmail.com</t>
  </si>
  <si>
    <t>BTR-162106-US</t>
  </si>
  <si>
    <t>3NFL-BTR-162106</t>
  </si>
  <si>
    <t>XL</t>
  </si>
  <si>
    <t>SDH2000555450</t>
  </si>
  <si>
    <t>Wanda Gunville</t>
  </si>
  <si>
    <t>16659 Mni Coujou Dr.</t>
  </si>
  <si>
    <t>Eagle Butte</t>
  </si>
  <si>
    <t>SD</t>
  </si>
  <si>
    <t>57625</t>
  </si>
  <si>
    <t>wanda.gunville@yahoo.com</t>
  </si>
  <si>
    <t>BTR-162127-US</t>
  </si>
  <si>
    <t>3NFL-BTR-162127</t>
  </si>
  <si>
    <t>SDH0096984584</t>
  </si>
  <si>
    <t>Payton Roll</t>
  </si>
  <si>
    <t>322 W Paseo Crossing Lane</t>
  </si>
  <si>
    <t>Coolidge</t>
  </si>
  <si>
    <t>AZ</t>
  </si>
  <si>
    <t>85128</t>
  </si>
  <si>
    <t>payton.roll70@gmail.com</t>
  </si>
  <si>
    <t>BTR-162137-US</t>
  </si>
  <si>
    <t>3NFL-BTR-162137</t>
  </si>
  <si>
    <t>SDH0096984585</t>
  </si>
  <si>
    <t xml:space="preserve">Melanie </t>
  </si>
  <si>
    <t>1354 Missouri St</t>
  </si>
  <si>
    <t>San Diego</t>
  </si>
  <si>
    <t>92109</t>
  </si>
  <si>
    <t>melanieeclarino@yahoo.com</t>
  </si>
  <si>
    <t>BTR-162165-US</t>
  </si>
  <si>
    <t>3NFL-BTR-162165</t>
  </si>
  <si>
    <t>L</t>
  </si>
  <si>
    <t>SDH0096984586</t>
  </si>
  <si>
    <t>Denise Lomelino</t>
  </si>
  <si>
    <t>PO BOX 877418</t>
  </si>
  <si>
    <t>Wasilla</t>
  </si>
  <si>
    <t>99687</t>
  </si>
  <si>
    <t>neceemama@yahoo.com</t>
  </si>
  <si>
    <t>BTR-162170-US</t>
  </si>
  <si>
    <t>3NFL-BTR-162170</t>
  </si>
  <si>
    <t>SDH0096984588</t>
  </si>
  <si>
    <t xml:space="preserve">Arlynne </t>
  </si>
  <si>
    <t>1964 cherokee st</t>
  </si>
  <si>
    <t>South Lake Tahoe</t>
  </si>
  <si>
    <t>96150</t>
  </si>
  <si>
    <t>arlynneec87@yahoo.com</t>
  </si>
  <si>
    <t>BTR-162175-US</t>
  </si>
  <si>
    <t>3NFL-BTR-162175</t>
  </si>
  <si>
    <t>SDH0096984587</t>
  </si>
  <si>
    <t>Ruth Chu</t>
  </si>
  <si>
    <t>941440 Okupu Street</t>
  </si>
  <si>
    <t>Waipahu</t>
  </si>
  <si>
    <t>HI</t>
  </si>
  <si>
    <t>96797</t>
  </si>
  <si>
    <t>rchu808@gmail.com</t>
  </si>
  <si>
    <t>BTR-162177-US</t>
  </si>
  <si>
    <t>3NFL-BTR-162177</t>
  </si>
  <si>
    <t>SDH0096984589</t>
  </si>
  <si>
    <t>Shelby Cisco</t>
  </si>
  <si>
    <t>Po Box 4244</t>
  </si>
  <si>
    <t>Yatahey</t>
  </si>
  <si>
    <t>NM</t>
  </si>
  <si>
    <t>87375</t>
  </si>
  <si>
    <t>chubster2009@yahoo.com</t>
  </si>
  <si>
    <t>BTR-162186-US</t>
  </si>
  <si>
    <t>3NFL-BTR-162186</t>
  </si>
  <si>
    <t>SDH0096984590</t>
  </si>
  <si>
    <t>Luz Gomez</t>
  </si>
  <si>
    <t>4290 E Philadelphia Ave</t>
  </si>
  <si>
    <t>89104</t>
  </si>
  <si>
    <t>lgomea@yahoo.com</t>
  </si>
  <si>
    <t>BTR-162198-US</t>
  </si>
  <si>
    <t>AF1L-BTR-162198</t>
  </si>
  <si>
    <t>Caleb</t>
  </si>
  <si>
    <t>SDH0097343002</t>
  </si>
  <si>
    <t>Caleb Tackitt</t>
  </si>
  <si>
    <t>1256 birchwood ave</t>
  </si>
  <si>
    <t>Rogers city</t>
  </si>
  <si>
    <t>MI</t>
  </si>
  <si>
    <t>49779</t>
  </si>
  <si>
    <t>tackittcaleb1@gmail.com</t>
  </si>
  <si>
    <t>BTR-162199-US</t>
  </si>
  <si>
    <t>3NFL-BTR-162199</t>
  </si>
  <si>
    <t>V 95</t>
  </si>
  <si>
    <t>SDH2000555451</t>
  </si>
  <si>
    <t>Mirian Easton</t>
  </si>
  <si>
    <t>10743 Ambergate Dr</t>
  </si>
  <si>
    <t>Humble</t>
  </si>
  <si>
    <t>77396</t>
  </si>
  <si>
    <t>eastonmia@yahoo.com</t>
  </si>
  <si>
    <t>BTR-162200-US</t>
  </si>
  <si>
    <t>3NFL-BTR-162200</t>
  </si>
  <si>
    <t>SDH0096984591</t>
  </si>
  <si>
    <t>Janice Fancher</t>
  </si>
  <si>
    <t>4505 S Hardy Dr, 1173</t>
  </si>
  <si>
    <t>Tempe</t>
  </si>
  <si>
    <t>85282</t>
  </si>
  <si>
    <t>lilredcowgirl@yahoo.com</t>
  </si>
  <si>
    <t>BTR-162202-US</t>
  </si>
  <si>
    <t>3NFL-BTR-162202</t>
  </si>
  <si>
    <t>SDH0096984592</t>
  </si>
  <si>
    <t>Lianne Guerra</t>
  </si>
  <si>
    <t>6500 w Charleston Blvd, Apart 270</t>
  </si>
  <si>
    <t>Las vegas</t>
  </si>
  <si>
    <t>89146</t>
  </si>
  <si>
    <t>lianneguerra94@gmail.com</t>
  </si>
  <si>
    <t>BTR-162205-US</t>
  </si>
  <si>
    <t>3NFL-BTR-162205</t>
  </si>
  <si>
    <t>J-Hope 94</t>
  </si>
  <si>
    <t>SDH0096984593</t>
  </si>
  <si>
    <t>Genesis Villa</t>
  </si>
  <si>
    <t>406 Edgewood Dr</t>
  </si>
  <si>
    <t>Midland</t>
  </si>
  <si>
    <t>79703</t>
  </si>
  <si>
    <t>genvilla15@gmail.com</t>
  </si>
  <si>
    <t>BTR-162206-US</t>
  </si>
  <si>
    <t>3NFL-BTR-162206</t>
  </si>
  <si>
    <t>SDH0096984594</t>
  </si>
  <si>
    <t>Raneesha Ellison</t>
  </si>
  <si>
    <t>PO BOX 2435</t>
  </si>
  <si>
    <t>Gallup</t>
  </si>
  <si>
    <t>87305</t>
  </si>
  <si>
    <t>neeshawe@gmail.com</t>
  </si>
  <si>
    <t>BTR-162207-US</t>
  </si>
  <si>
    <t>3NFL-BTR-162207</t>
  </si>
  <si>
    <t>SDH0096984595</t>
  </si>
  <si>
    <t xml:space="preserve">Amylou </t>
  </si>
  <si>
    <t>3829 133rd street SW</t>
  </si>
  <si>
    <t>Lynnwood</t>
  </si>
  <si>
    <t>WA</t>
  </si>
  <si>
    <t>98087</t>
  </si>
  <si>
    <t>meloths1985@yahoo.com</t>
  </si>
  <si>
    <t>BTR-162208-US</t>
  </si>
  <si>
    <t>3NFL-BTR-162208</t>
  </si>
  <si>
    <t>SDH0096984596</t>
  </si>
  <si>
    <t>Sung Ja Albright</t>
  </si>
  <si>
    <t>1410 BETHEL PARK CT NE</t>
  </si>
  <si>
    <t>Olympia</t>
  </si>
  <si>
    <t>98506</t>
  </si>
  <si>
    <t>sjss21@msn.com</t>
  </si>
  <si>
    <t>BTR-162209-US</t>
  </si>
  <si>
    <t>AF1L-BTR-162209</t>
  </si>
  <si>
    <t>Men EU44</t>
  </si>
  <si>
    <t>SDH0097343003</t>
  </si>
  <si>
    <t>Vincent Vasquez</t>
  </si>
  <si>
    <t>14842 GROVEVIEW LN</t>
  </si>
  <si>
    <t>Irvine</t>
  </si>
  <si>
    <t>92604</t>
  </si>
  <si>
    <t>vincentvas14@gmail.com</t>
  </si>
  <si>
    <t>BTR-162210-US</t>
  </si>
  <si>
    <t>3NFL-BTR-162210</t>
  </si>
  <si>
    <t>SDH0096984597</t>
  </si>
  <si>
    <t>Ester Izaguirre</t>
  </si>
  <si>
    <t>743 W 11 St., 1</t>
  </si>
  <si>
    <t>San Pedro</t>
  </si>
  <si>
    <t>90731</t>
  </si>
  <si>
    <t>sarai1992@yahoo.com</t>
  </si>
  <si>
    <t>BTR-162210-US-2</t>
  </si>
  <si>
    <t>3NFL-BTR-162210-2</t>
  </si>
  <si>
    <t>SDH0096984599</t>
  </si>
  <si>
    <t>BTR-162210-US-C</t>
  </si>
  <si>
    <t>3BCAP-BTR-162210</t>
  </si>
  <si>
    <t>SDH0096984598</t>
  </si>
  <si>
    <t>BTR-162211-US</t>
  </si>
  <si>
    <t>3NFL-BTR-162211</t>
  </si>
  <si>
    <t>SDH0096984600</t>
  </si>
  <si>
    <t>Layla Jacket</t>
  </si>
  <si>
    <t>1650 N Kadota Ave, Apt 253</t>
  </si>
  <si>
    <t>Casa Grande</t>
  </si>
  <si>
    <t>85122</t>
  </si>
  <si>
    <t>laylajacket6@gmail.com</t>
  </si>
  <si>
    <t>BTR-162214-US</t>
  </si>
  <si>
    <t>3NFL-BTR-162214</t>
  </si>
  <si>
    <t>SDH0096984601</t>
  </si>
  <si>
    <t>Freda Nells</t>
  </si>
  <si>
    <t>2203 Ranch Drive</t>
  </si>
  <si>
    <t>Farmington</t>
  </si>
  <si>
    <t>87401</t>
  </si>
  <si>
    <t>fk_nells@yahoo.com</t>
  </si>
  <si>
    <t>BTR-162219-US</t>
  </si>
  <si>
    <t>3NFL-BTR-162219A</t>
  </si>
  <si>
    <t>SDH0096984604</t>
  </si>
  <si>
    <t>Kim Orth</t>
  </si>
  <si>
    <t>4204 Sw Brixton Ave</t>
  </si>
  <si>
    <t>Gresham</t>
  </si>
  <si>
    <t>97080</t>
  </si>
  <si>
    <t>kimorthphotos@gmail.com</t>
  </si>
  <si>
    <t>3NFL-BTR-162219B</t>
  </si>
  <si>
    <t>BTR-162221-US</t>
  </si>
  <si>
    <t>3NFL-BTR-162221</t>
  </si>
  <si>
    <t>SDH0096984602</t>
  </si>
  <si>
    <t>Maria Zamora</t>
  </si>
  <si>
    <t>1470 Pumalo St</t>
  </si>
  <si>
    <t>San Bernardino</t>
  </si>
  <si>
    <t>92404</t>
  </si>
  <si>
    <t>lovelymaria87@hotmail.com</t>
  </si>
  <si>
    <t>BTR-162225-US</t>
  </si>
  <si>
    <t>3NFL-BTR-162225</t>
  </si>
  <si>
    <t>SDH0096984603</t>
  </si>
  <si>
    <t>Tammy Ngo-Iha</t>
  </si>
  <si>
    <t>92-843 PALAILAI ST</t>
  </si>
  <si>
    <t>Kapolei</t>
  </si>
  <si>
    <t>96707</t>
  </si>
  <si>
    <t>tammyngo06@yahoo.com</t>
  </si>
  <si>
    <t>BTR-162226-US</t>
  </si>
  <si>
    <t>3NFL-BTR-162226A</t>
  </si>
  <si>
    <t>SDH0096984605</t>
  </si>
  <si>
    <t>Angela MartinezHerrera</t>
  </si>
  <si>
    <t>122 24th Ave</t>
  </si>
  <si>
    <t>Greeley</t>
  </si>
  <si>
    <t>CO</t>
  </si>
  <si>
    <t>80631</t>
  </si>
  <si>
    <t>martinez5298@yahoo.com</t>
  </si>
  <si>
    <t>3NFL-BTR-162226B</t>
  </si>
  <si>
    <t>BTR-162226-US-2</t>
  </si>
  <si>
    <t>3NFL-BTR-162226-2</t>
  </si>
  <si>
    <t>Jung Kook 95</t>
  </si>
  <si>
    <t>SDH0096984606</t>
  </si>
  <si>
    <t>BTR-162229-US</t>
  </si>
  <si>
    <t>3NFL-BTR-162229</t>
  </si>
  <si>
    <t>Jimin 92</t>
  </si>
  <si>
    <t>SDH0096984607</t>
  </si>
  <si>
    <t>Alma Tulio</t>
  </si>
  <si>
    <t>7816 Hamilton Pool Dr</t>
  </si>
  <si>
    <t>89113</t>
  </si>
  <si>
    <t>almatulio@gmail.com</t>
  </si>
  <si>
    <t>BTR-162229-US-C</t>
  </si>
  <si>
    <t>3BCAP-BTR-162229</t>
  </si>
  <si>
    <t>SDH0096984608</t>
  </si>
  <si>
    <t>BTR-162231-US</t>
  </si>
  <si>
    <t>3NFL-BTR-162231</t>
  </si>
  <si>
    <t>SDH0096984610</t>
  </si>
  <si>
    <t>Darian G</t>
  </si>
  <si>
    <t>92-6067 Nemo Street</t>
  </si>
  <si>
    <t>g.nairad04@gmail.com</t>
  </si>
  <si>
    <t>BTR-162231-US-C</t>
  </si>
  <si>
    <t>3BCAP-BTR-162231</t>
  </si>
  <si>
    <t>SDH0096984609</t>
  </si>
  <si>
    <t>BTR-162244-US</t>
  </si>
  <si>
    <t>3NFL-BTR-162244A</t>
  </si>
  <si>
    <t>SDH0096984611</t>
  </si>
  <si>
    <t>Blanca Escudero</t>
  </si>
  <si>
    <t>6728 W Fairview ave.# 44</t>
  </si>
  <si>
    <t>Boise</t>
  </si>
  <si>
    <t>ID</t>
  </si>
  <si>
    <t>83704</t>
  </si>
  <si>
    <t>blkangel99@hotmail.com</t>
  </si>
  <si>
    <t>3NFL-BTR-162244B</t>
  </si>
  <si>
    <t>BTR-162250-US</t>
  </si>
  <si>
    <t>3NFL-BTR-162250</t>
  </si>
  <si>
    <t>SDH0096984612</t>
  </si>
  <si>
    <t>Heidi Leslie Palma-Corral</t>
  </si>
  <si>
    <t>720 EDGEMAR AVE</t>
  </si>
  <si>
    <t>Pacifica</t>
  </si>
  <si>
    <t>94044</t>
  </si>
  <si>
    <t>plheidi@yahoo.com</t>
  </si>
  <si>
    <t>BTR-162251-US</t>
  </si>
  <si>
    <t>3NFL-BTR-162251</t>
  </si>
  <si>
    <t>SDH0096984613</t>
  </si>
  <si>
    <t xml:space="preserve">Michelle </t>
  </si>
  <si>
    <t>6441 Boatbill Street</t>
  </si>
  <si>
    <t>North Las Vegas</t>
  </si>
  <si>
    <t>89084</t>
  </si>
  <si>
    <t>michellenero@hotmail.con</t>
  </si>
  <si>
    <t>BTR-162256-US</t>
  </si>
  <si>
    <t>3NFL-BTR-162256</t>
  </si>
  <si>
    <t>SDH0096984614</t>
  </si>
  <si>
    <t xml:space="preserve">Jen </t>
  </si>
  <si>
    <t>2122 Corinth Ave.</t>
  </si>
  <si>
    <t>Los Angeles</t>
  </si>
  <si>
    <t>90025</t>
  </si>
  <si>
    <t>jmkitahara@gmail.com</t>
  </si>
  <si>
    <t>Hide behind front door porch from street view</t>
  </si>
  <si>
    <t>BTR-162256-US-C</t>
  </si>
  <si>
    <t>3BCAP-BTR-162256</t>
  </si>
  <si>
    <t>SDH0096984615</t>
  </si>
  <si>
    <t>BTR-162257-US</t>
  </si>
  <si>
    <t>3NFL-BTR-162257</t>
  </si>
  <si>
    <t>Jungkook 97</t>
  </si>
  <si>
    <t>SDH0096984616</t>
  </si>
  <si>
    <t>D Vwj</t>
  </si>
  <si>
    <t>2125 N Archie Ave</t>
  </si>
  <si>
    <t>Fresno</t>
  </si>
  <si>
    <t>93703</t>
  </si>
  <si>
    <t>divue02@gmail.com</t>
  </si>
  <si>
    <t>BTR-162273-US</t>
  </si>
  <si>
    <t>AJ1H-BTR-162273</t>
  </si>
  <si>
    <t>Robertico C</t>
  </si>
  <si>
    <t>SDH0097343004</t>
  </si>
  <si>
    <t>Roberto Casamayor</t>
  </si>
  <si>
    <t>18710 Bridoon Dr</t>
  </si>
  <si>
    <t>Cypress</t>
  </si>
  <si>
    <t>77433</t>
  </si>
  <si>
    <t>robertocasamayor3@gmail.com</t>
  </si>
  <si>
    <t>BTR-162279-US</t>
  </si>
  <si>
    <t>3NFL-BTR-162279</t>
  </si>
  <si>
    <t>SDH0097440323</t>
  </si>
  <si>
    <t>kathy Yesiltepe</t>
  </si>
  <si>
    <t>5112 Castle Harbor Way</t>
  </si>
  <si>
    <t>Centreville</t>
  </si>
  <si>
    <t>VA</t>
  </si>
  <si>
    <t>20120</t>
  </si>
  <si>
    <t>yesiltepe1@yahoo.com</t>
  </si>
  <si>
    <t>BTR-162279-US-C</t>
  </si>
  <si>
    <t>3BCAP-BTR-162279</t>
  </si>
  <si>
    <t>SDH0097440324</t>
  </si>
  <si>
    <t>BTR-162291-US</t>
  </si>
  <si>
    <t>3NFL-BTR-162291</t>
  </si>
  <si>
    <t>SDH2000555452</t>
  </si>
  <si>
    <t>Luzelena Ponce</t>
  </si>
  <si>
    <t>422 Trudell dr</t>
  </si>
  <si>
    <t>78213</t>
  </si>
  <si>
    <t>poncelucy24@gmail.com</t>
  </si>
  <si>
    <t>BTR-162300-US</t>
  </si>
  <si>
    <t>3NFL-BTR-162300</t>
  </si>
  <si>
    <t>SDH2000555453</t>
  </si>
  <si>
    <t>Wanda Wolf</t>
  </si>
  <si>
    <t>5119 June Ivey Rd Nw</t>
  </si>
  <si>
    <t>Bethlehem</t>
  </si>
  <si>
    <t>GA</t>
  </si>
  <si>
    <t>30620</t>
  </si>
  <si>
    <t>wandawolf17@yahoo.com</t>
  </si>
  <si>
    <t>BTR-162301-US</t>
  </si>
  <si>
    <t>3NFL-BTR-162301</t>
  </si>
  <si>
    <t>4XL</t>
  </si>
  <si>
    <t>RM 94</t>
  </si>
  <si>
    <t>SDH0097440325</t>
  </si>
  <si>
    <t xml:space="preserve">Krysten </t>
  </si>
  <si>
    <t>5913 piney branch way</t>
  </si>
  <si>
    <t>Leland</t>
  </si>
  <si>
    <t>NC</t>
  </si>
  <si>
    <t>28451</t>
  </si>
  <si>
    <t>krystenstallard@gmail.com</t>
  </si>
  <si>
    <t>BTR-162310-US</t>
  </si>
  <si>
    <t>3NFL-BTR-162310</t>
  </si>
  <si>
    <t>SDH2000555454</t>
  </si>
  <si>
    <t>Janie Reed</t>
  </si>
  <si>
    <t>4556 Highland Crest Cir</t>
  </si>
  <si>
    <t>Hoover</t>
  </si>
  <si>
    <t>AL</t>
  </si>
  <si>
    <t>35226</t>
  </si>
  <si>
    <t>jreed0805@att.net</t>
  </si>
  <si>
    <t>BTR-162316-US</t>
  </si>
  <si>
    <t>3NFL-BTR-162316A</t>
  </si>
  <si>
    <t>SDH0096984617</t>
  </si>
  <si>
    <t>Lalaine Jones</t>
  </si>
  <si>
    <t>6852 PAINTED MORNING AVE</t>
  </si>
  <si>
    <t>89142</t>
  </si>
  <si>
    <t>eniahl7@gmail.com</t>
  </si>
  <si>
    <t>3NFL-BTR-162316B</t>
  </si>
  <si>
    <t>BTR-162317-US</t>
  </si>
  <si>
    <t>3NFL-BTR-162317A</t>
  </si>
  <si>
    <t>SDH0096984618</t>
  </si>
  <si>
    <t>Kelsey Spencer</t>
  </si>
  <si>
    <t>4618 Erica Dr</t>
  </si>
  <si>
    <t>N Las Vegas</t>
  </si>
  <si>
    <t>89032</t>
  </si>
  <si>
    <t>kelseylafaga@gmail.com</t>
  </si>
  <si>
    <t>3NFL-BTR-162317B</t>
  </si>
  <si>
    <t>BTR-162327-US</t>
  </si>
  <si>
    <t>3NFL-BTR-162327C</t>
  </si>
  <si>
    <t>SDH2000555455</t>
  </si>
  <si>
    <t>Lillian Catron</t>
  </si>
  <si>
    <t>771 Lancelot Dr</t>
  </si>
  <si>
    <t>London</t>
  </si>
  <si>
    <t>KY</t>
  </si>
  <si>
    <t>40744</t>
  </si>
  <si>
    <t>catronlondon@gmail.com</t>
  </si>
  <si>
    <t>3NFL-BTR-162327D</t>
  </si>
  <si>
    <t>BTR-162331-US</t>
  </si>
  <si>
    <t>AJ1H-BTR-162331</t>
  </si>
  <si>
    <t>Women EU40</t>
  </si>
  <si>
    <t>SDH0097343005</t>
  </si>
  <si>
    <t>Tatiana Moore</t>
  </si>
  <si>
    <t>900 Amber Acres Ln</t>
  </si>
  <si>
    <t>Knightdale</t>
  </si>
  <si>
    <t>27545</t>
  </si>
  <si>
    <t>taliasmom0804@yahoo.com</t>
  </si>
  <si>
    <t>BTR-162336-US</t>
  </si>
  <si>
    <t>3NFL-BTR-162336</t>
  </si>
  <si>
    <t>SDH0096984619</t>
  </si>
  <si>
    <t>Sheryl Moon</t>
  </si>
  <si>
    <t>7909 Kelvedon Way</t>
  </si>
  <si>
    <t>Sacramento</t>
  </si>
  <si>
    <t>95829</t>
  </si>
  <si>
    <t>sherylbunnygal@aol.com</t>
  </si>
  <si>
    <t>BTR-162353-US</t>
  </si>
  <si>
    <t>3NFL-BTR-162353</t>
  </si>
  <si>
    <t>SDH0096984620</t>
  </si>
  <si>
    <t>Aisosa Oronsaye</t>
  </si>
  <si>
    <t>7842 Pinyon Ave</t>
  </si>
  <si>
    <t>Fontana</t>
  </si>
  <si>
    <t>92336</t>
  </si>
  <si>
    <t>aisosaorons@yahoo.com</t>
  </si>
  <si>
    <t>BTR-162354-US</t>
  </si>
  <si>
    <t>3NFL-BTR-162354</t>
  </si>
  <si>
    <t>SDH0096984621</t>
  </si>
  <si>
    <t>JLyn Flora</t>
  </si>
  <si>
    <t>14768 S Blue Skye Ct</t>
  </si>
  <si>
    <t>Draper</t>
  </si>
  <si>
    <t>UT</t>
  </si>
  <si>
    <t>84020</t>
  </si>
  <si>
    <t>jlynflora@msn.com</t>
  </si>
  <si>
    <t>BTR-162367-US</t>
  </si>
  <si>
    <t>3NFL-BTR-162367</t>
  </si>
  <si>
    <t>SDH0096984622</t>
  </si>
  <si>
    <t>Maria Theresa Vargas</t>
  </si>
  <si>
    <t>331 Bolton Way</t>
  </si>
  <si>
    <t>Vallejo</t>
  </si>
  <si>
    <t>94591</t>
  </si>
  <si>
    <t>matheresa.vargas1201@gmail.com</t>
  </si>
  <si>
    <t>BTR-162368-US</t>
  </si>
  <si>
    <t>3NFL-BTR-162368</t>
  </si>
  <si>
    <t>SDH0096984623</t>
  </si>
  <si>
    <t>Chelle Ritumalta</t>
  </si>
  <si>
    <t>2128 Willowbury Dr Unit B</t>
  </si>
  <si>
    <t>89108</t>
  </si>
  <si>
    <t>chelleretumalta@yahoo.com</t>
  </si>
  <si>
    <t>BTR-162370-US</t>
  </si>
  <si>
    <t>3NFL-BTR-162370A</t>
  </si>
  <si>
    <t>SDH0096984624</t>
  </si>
  <si>
    <t>Stephanie Mayo</t>
  </si>
  <si>
    <t>993 Pinnacle Dr W</t>
  </si>
  <si>
    <t>Madera</t>
  </si>
  <si>
    <t>93636</t>
  </si>
  <si>
    <t>smayo324@gmail.com</t>
  </si>
  <si>
    <t>3NFL-BTR-162370B</t>
  </si>
  <si>
    <t>BTR-162370-US-C</t>
  </si>
  <si>
    <t>3BCAP-BTR-162370A</t>
  </si>
  <si>
    <t>SDH0096984626</t>
  </si>
  <si>
    <t>3BCAP-BTR-162370B</t>
  </si>
  <si>
    <t>BTR-162377-US</t>
  </si>
  <si>
    <t>3NFL-BTR-162377</t>
  </si>
  <si>
    <t>SDH0096984625</t>
  </si>
  <si>
    <t>Jennifer Celis</t>
  </si>
  <si>
    <t>10819 S Arista Way</t>
  </si>
  <si>
    <t>South Jordan</t>
  </si>
  <si>
    <t>84009</t>
  </si>
  <si>
    <t>kshardon@gmail.com</t>
  </si>
  <si>
    <t>BTR-162400-US</t>
  </si>
  <si>
    <t>3NFL-BTR-162400A</t>
  </si>
  <si>
    <t>SDH0096984627</t>
  </si>
  <si>
    <t xml:space="preserve">Jerilynn </t>
  </si>
  <si>
    <t>P.O. Box 71</t>
  </si>
  <si>
    <t>Whiterocks</t>
  </si>
  <si>
    <t>84085</t>
  </si>
  <si>
    <t>jerilynn.reed87@gmail.com</t>
  </si>
  <si>
    <t>3NFL-BTR-162400B</t>
  </si>
  <si>
    <t>3NFL-BTR-162400C</t>
  </si>
  <si>
    <t>Suga 93</t>
  </si>
  <si>
    <t>BTR-162412-US</t>
  </si>
  <si>
    <t>2FJERSEY-D款</t>
  </si>
  <si>
    <t>YWBZ2026128845</t>
  </si>
  <si>
    <t>Mathys Detout</t>
  </si>
  <si>
    <t>14 Cite De La Renaissance, 14</t>
  </si>
  <si>
    <t>Samer</t>
  </si>
  <si>
    <t>62830</t>
  </si>
  <si>
    <t>FR</t>
  </si>
  <si>
    <t>mathys.detout774@gmail.com</t>
  </si>
  <si>
    <t>CHAMPION D'EUROPE !</t>
  </si>
  <si>
    <t>BTR-162434-US</t>
  </si>
  <si>
    <t>3NFL-BTR-162434A</t>
  </si>
  <si>
    <t>SDH0096984628</t>
  </si>
  <si>
    <t>Melanie Johnson</t>
  </si>
  <si>
    <t>26828 Grayslake Rd</t>
  </si>
  <si>
    <t>Rancho Palos Verdes</t>
  </si>
  <si>
    <t>90275</t>
  </si>
  <si>
    <t>mc2thej@gmail.com</t>
  </si>
  <si>
    <t>3NFL-BTR-162434B</t>
  </si>
  <si>
    <t>BTR-162434-US-C</t>
  </si>
  <si>
    <t>3BCAP-BTR-162434A</t>
  </si>
  <si>
    <t>SDH0096984629</t>
  </si>
  <si>
    <t>3BCAP-BTR-162434B</t>
  </si>
  <si>
    <t>BTR-162444-US</t>
  </si>
  <si>
    <t>3NFL-BTR-162444</t>
  </si>
  <si>
    <t>SDH0096984630</t>
  </si>
  <si>
    <t>Karen Andrews</t>
  </si>
  <si>
    <t>1143 TERRY LN</t>
  </si>
  <si>
    <t>Tracy</t>
  </si>
  <si>
    <t>95376</t>
  </si>
  <si>
    <t>shortiek@sbcglobal.net</t>
  </si>
  <si>
    <t>BTR-162480-US</t>
  </si>
  <si>
    <t>3NFL-BTR-162480</t>
  </si>
  <si>
    <t>SDH2000555456</t>
  </si>
  <si>
    <t>Maygold Vang</t>
  </si>
  <si>
    <t>500 12th Ave W, Apt 39</t>
  </si>
  <si>
    <t>Menomonie</t>
  </si>
  <si>
    <t>WI</t>
  </si>
  <si>
    <t>54751</t>
  </si>
  <si>
    <t>maygoldvang@yahoo.com</t>
  </si>
  <si>
    <t>BTR-162493-US</t>
  </si>
  <si>
    <t>2FJERSEY-B款</t>
  </si>
  <si>
    <t>YWBZ2026128846</t>
  </si>
  <si>
    <t>franck Robin</t>
  </si>
  <si>
    <t>2 Avenue valery giscard d estaing batiment D</t>
  </si>
  <si>
    <t>Nice</t>
  </si>
  <si>
    <t>06200</t>
  </si>
  <si>
    <t>robin.franck2@orange.fr</t>
  </si>
  <si>
    <t>BTR-162504-US</t>
  </si>
  <si>
    <t>3NFL-BTR-162504</t>
  </si>
  <si>
    <t>SDH0096984632</t>
  </si>
  <si>
    <t>Ashley Valencerina</t>
  </si>
  <si>
    <t>122 Scotts Valley</t>
  </si>
  <si>
    <t>Hercules</t>
  </si>
  <si>
    <t>94547</t>
  </si>
  <si>
    <t>aavalencerina@gmail.com</t>
  </si>
  <si>
    <t>BTR-162504-US-C</t>
  </si>
  <si>
    <t>3BCAP-BTR-162504</t>
  </si>
  <si>
    <t>SDH0096984636</t>
  </si>
  <si>
    <t>BTR-162505-US</t>
  </si>
  <si>
    <t>2FJERSEY-A款</t>
  </si>
  <si>
    <t>XS</t>
  </si>
  <si>
    <t>YWBZ2026128847</t>
  </si>
  <si>
    <t>Morgane Biettron</t>
  </si>
  <si>
    <t>La Viguerie De Provence Lot 19, 911 Route Du Rouret</t>
  </si>
  <si>
    <t>Roquefort Les Pins</t>
  </si>
  <si>
    <t>06330</t>
  </si>
  <si>
    <t>morgane.biettron@free.fr</t>
  </si>
  <si>
    <t>BTR-162513-US</t>
  </si>
  <si>
    <t>3NFL-BTR-162513</t>
  </si>
  <si>
    <t>SDH0096984633</t>
  </si>
  <si>
    <t>Janet Flewelling</t>
  </si>
  <si>
    <t>1260 Shady Crest Circle</t>
  </si>
  <si>
    <t>Woodland Park</t>
  </si>
  <si>
    <t>80863</t>
  </si>
  <si>
    <t>kreik17@gmail.com</t>
  </si>
  <si>
    <t>BTR-162514-US</t>
  </si>
  <si>
    <t>3NFL-BTR-162514A</t>
  </si>
  <si>
    <t>SDH0096984634</t>
  </si>
  <si>
    <t>Nia Pirante</t>
  </si>
  <si>
    <t>9723 W Clifford Walk Ave</t>
  </si>
  <si>
    <t>89148</t>
  </si>
  <si>
    <t>nkpirante@yahoo.com</t>
  </si>
  <si>
    <t>3NFL-BTR-162514B</t>
  </si>
  <si>
    <t>BTR-162515-US</t>
  </si>
  <si>
    <t>3NFL-BTR-162515</t>
  </si>
  <si>
    <t>SDH0096984631</t>
  </si>
  <si>
    <t>Martha Alicia Meza</t>
  </si>
  <si>
    <t>5636 E Los Angeles Ave.</t>
  </si>
  <si>
    <t>Simi Valley</t>
  </si>
  <si>
    <t>93063</t>
  </si>
  <si>
    <t>mamezamd@yahoo.com</t>
  </si>
  <si>
    <t>BTR-162517-US</t>
  </si>
  <si>
    <t>3NFL-BTR-162517</t>
  </si>
  <si>
    <t>SDH0096984635</t>
  </si>
  <si>
    <t>Crystal Olivares</t>
  </si>
  <si>
    <t>5208 S 110th Ave</t>
  </si>
  <si>
    <t>Tolleson</t>
  </si>
  <si>
    <t>85353</t>
  </si>
  <si>
    <t>crystalolivares8@gmail.com</t>
  </si>
  <si>
    <t>BTR-162518-US</t>
  </si>
  <si>
    <t>3NFL-BTR-162518</t>
  </si>
  <si>
    <t>SDH0096984637</t>
  </si>
  <si>
    <t>Xylia Chaffino</t>
  </si>
  <si>
    <t>6555 Ambrosia Drive, Apt 1401</t>
  </si>
  <si>
    <t>92509</t>
  </si>
  <si>
    <t>xchaffino@outlook.com</t>
  </si>
  <si>
    <t>BTR-162526-US</t>
  </si>
  <si>
    <t>YWBZ2026128848</t>
  </si>
  <si>
    <t>Jeremy Parent</t>
  </si>
  <si>
    <t>17 Rue Augereau</t>
  </si>
  <si>
    <t>Paris</t>
  </si>
  <si>
    <t>75007</t>
  </si>
  <si>
    <t>jeremy.parent@outlook.com</t>
  </si>
  <si>
    <t>BTR-162531-US</t>
  </si>
  <si>
    <t>YWBZ2026128849</t>
  </si>
  <si>
    <t>Ludovic Masse</t>
  </si>
  <si>
    <t>17 Allee Des Goelettes, 17 Allee Des Goelettes</t>
  </si>
  <si>
    <t>Les Mureaux</t>
  </si>
  <si>
    <t>78130</t>
  </si>
  <si>
    <t>masseludovic@hotmail.fr</t>
  </si>
  <si>
    <t>BTR-162533-US</t>
  </si>
  <si>
    <t>YWBZ2026128850</t>
  </si>
  <si>
    <t>Damien Cossec</t>
  </si>
  <si>
    <t>15 Rue De Resken</t>
  </si>
  <si>
    <t>Plobannalec Lesconil</t>
  </si>
  <si>
    <t>29740</t>
  </si>
  <si>
    <t>damien.cossec.24@gmail.com</t>
  </si>
  <si>
    <t>2FJERSEY-C款</t>
  </si>
  <si>
    <t>BTR-162539-US</t>
  </si>
  <si>
    <t>YWBZ2026128851</t>
  </si>
  <si>
    <t xml:space="preserve">Gomes de andrade </t>
  </si>
  <si>
    <t>12 les gannelets</t>
  </si>
  <si>
    <t>Beauregard-de-Terrasson</t>
  </si>
  <si>
    <t>24120</t>
  </si>
  <si>
    <t>lea130306@hotmail.fr</t>
  </si>
  <si>
    <t>BTR-162545-US</t>
  </si>
  <si>
    <t>3NFL-BTR-162545</t>
  </si>
  <si>
    <t>SDH0096984638</t>
  </si>
  <si>
    <t>Yvette Heinrichson</t>
  </si>
  <si>
    <t>15127 Almond Orchard Ln</t>
  </si>
  <si>
    <t>92131</t>
  </si>
  <si>
    <t>yheinrichson@me.com</t>
  </si>
  <si>
    <t>BTR-162547-US</t>
  </si>
  <si>
    <t>3NFL-BTR-162547A</t>
  </si>
  <si>
    <t>SDH0096984639</t>
  </si>
  <si>
    <t>Nick C</t>
  </si>
  <si>
    <t>1269 Vietti st</t>
  </si>
  <si>
    <t>Henderson</t>
  </si>
  <si>
    <t>89012</t>
  </si>
  <si>
    <t>rldpercussion@mac.com</t>
  </si>
  <si>
    <t>3NFL-BTR-162547B</t>
  </si>
  <si>
    <t>Jimin 95</t>
  </si>
  <si>
    <t>BTR-162554-US</t>
  </si>
  <si>
    <t>3NFL-BTR-162554</t>
  </si>
  <si>
    <t>SDH0096984640</t>
  </si>
  <si>
    <t>Val Guzman</t>
  </si>
  <si>
    <t>2323 NW Savier St. Apt 417</t>
  </si>
  <si>
    <t>Portland</t>
  </si>
  <si>
    <t>97210</t>
  </si>
  <si>
    <t>littleghost76@gmail.com</t>
  </si>
  <si>
    <t>BTR-162555-US</t>
  </si>
  <si>
    <t>3NFL-BTR-162555A</t>
  </si>
  <si>
    <t>SDH0096984643</t>
  </si>
  <si>
    <t>Dana Curioso</t>
  </si>
  <si>
    <t>13901 ROSCOE BLVD</t>
  </si>
  <si>
    <t>Panorama City</t>
  </si>
  <si>
    <t>91402</t>
  </si>
  <si>
    <t>curiosodanamae8@gmail.com</t>
  </si>
  <si>
    <t>3NFL-BTR-162555B</t>
  </si>
  <si>
    <t>BTR-162566-US</t>
  </si>
  <si>
    <t>3NFL-BTR-162566</t>
  </si>
  <si>
    <t>SDH2000555457</t>
  </si>
  <si>
    <t>Lisa Pittman</t>
  </si>
  <si>
    <t>2604 Gilbert Ave. NE</t>
  </si>
  <si>
    <t>Canton</t>
  </si>
  <si>
    <t>OH</t>
  </si>
  <si>
    <t>44705</t>
  </si>
  <si>
    <t>lmpittman80@gmail.com</t>
  </si>
  <si>
    <t>BTR-162569-US</t>
  </si>
  <si>
    <t>3NFL-BTR-162569</t>
  </si>
  <si>
    <t>SDH0096984642</t>
  </si>
  <si>
    <t>Maria D Alvarez Posadas</t>
  </si>
  <si>
    <t>10647 Kewen Ave</t>
  </si>
  <si>
    <t>Pacoima</t>
  </si>
  <si>
    <t>91331</t>
  </si>
  <si>
    <t>alvareztigers99@gmail.com</t>
  </si>
  <si>
    <t>BTR-162598-US</t>
  </si>
  <si>
    <t>3NFL-BTR-162598</t>
  </si>
  <si>
    <t>SDH0096984641</t>
  </si>
  <si>
    <t>Linh Pho</t>
  </si>
  <si>
    <t>13421 Gilbert St</t>
  </si>
  <si>
    <t>Garden Grove</t>
  </si>
  <si>
    <t>92844</t>
  </si>
  <si>
    <t>mrpho89@gmail.com</t>
  </si>
  <si>
    <t>BTR-162599-US</t>
  </si>
  <si>
    <t>3NFL-BTR-162599</t>
  </si>
  <si>
    <t>SDH0096984644</t>
  </si>
  <si>
    <t>Peggy Miller</t>
  </si>
  <si>
    <t>2764 Crossroads Blvd, 203</t>
  </si>
  <si>
    <t>Grand Junction</t>
  </si>
  <si>
    <t>81506</t>
  </si>
  <si>
    <t>peggyrmiller@icloud.com</t>
  </si>
  <si>
    <t>BTR-162602-US</t>
  </si>
  <si>
    <t>3NFL-BTR-162602</t>
  </si>
  <si>
    <t>SDH0096984646</t>
  </si>
  <si>
    <t>Caroline Fabella</t>
  </si>
  <si>
    <t>26052 Ohara Lane</t>
  </si>
  <si>
    <t>Stevenson Ranch</t>
  </si>
  <si>
    <t>91381</t>
  </si>
  <si>
    <t>cfabella1220@yahoo.com</t>
  </si>
  <si>
    <t>BTR-162603-US</t>
  </si>
  <si>
    <t>YWBZ2026128852</t>
  </si>
  <si>
    <t>Damien Poret</t>
  </si>
  <si>
    <t>18 Rue De Rosney</t>
  </si>
  <si>
    <t>Boisset Les Prevanches</t>
  </si>
  <si>
    <t>27120</t>
  </si>
  <si>
    <t>damien.poret@yahoo.fr</t>
  </si>
  <si>
    <t>BTR-162604-US</t>
  </si>
  <si>
    <t>3NFL-BTR-162604</t>
  </si>
  <si>
    <t>SDH0096984645</t>
  </si>
  <si>
    <t>Yesika Otano-Alonso</t>
  </si>
  <si>
    <t>546 STAGHORN PASS AVE</t>
  </si>
  <si>
    <t>89183</t>
  </si>
  <si>
    <t>alonsoyesika1@gmail.com</t>
  </si>
  <si>
    <t>BTR-162611-US-1</t>
  </si>
  <si>
    <t>3NFL-BTR-162611</t>
  </si>
  <si>
    <t>SDH0096984647</t>
  </si>
  <si>
    <t>Maria Martinez</t>
  </si>
  <si>
    <t>3833 Fitzpatrick dr</t>
  </si>
  <si>
    <t>89115</t>
  </si>
  <si>
    <t>mmchelo26@gmail.com</t>
  </si>
  <si>
    <t>BTR-162612-US</t>
  </si>
  <si>
    <t>YWBZ2026128853</t>
  </si>
  <si>
    <t>Aubin Gohi Nghahally</t>
  </si>
  <si>
    <t>10 rue des prés saint Martin</t>
  </si>
  <si>
    <t>Savigny Sur Orge</t>
  </si>
  <si>
    <t>91600</t>
  </si>
  <si>
    <t>gohiaubin@gmail.com</t>
  </si>
  <si>
    <t>BTR-162613-US</t>
  </si>
  <si>
    <t>3NFL-BTR-162613A</t>
  </si>
  <si>
    <t>SDH0096984649</t>
  </si>
  <si>
    <t>Rocio Canizales</t>
  </si>
  <si>
    <t>1602 Davis St.</t>
  </si>
  <si>
    <t>Corona</t>
  </si>
  <si>
    <t>92882</t>
  </si>
  <si>
    <t>adrianmondragon@att.net</t>
  </si>
  <si>
    <t>3NFL-BTR-162613B</t>
  </si>
  <si>
    <t>BTR-162621-US</t>
  </si>
  <si>
    <t>3NFL-BTR-162621</t>
  </si>
  <si>
    <t>SDH0096984648</t>
  </si>
  <si>
    <t>Laura Elizabeth Rue</t>
  </si>
  <si>
    <t>59 Stepping Stone</t>
  </si>
  <si>
    <t>92603</t>
  </si>
  <si>
    <t>lerue@me.com</t>
  </si>
  <si>
    <t>BTR-162623-US</t>
  </si>
  <si>
    <t>3NFL-BTR-162623</t>
  </si>
  <si>
    <t>SDH0096984650</t>
  </si>
  <si>
    <t>Margaret Loc</t>
  </si>
  <si>
    <t>5225 Halifax Rd, Unit B</t>
  </si>
  <si>
    <t>Temple City</t>
  </si>
  <si>
    <t>91780</t>
  </si>
  <si>
    <t>locmargaret@yahoo.com</t>
  </si>
  <si>
    <t>BTR-162624-US</t>
  </si>
  <si>
    <t>3NFL-BTR-162624A</t>
  </si>
  <si>
    <t>SDH0096984653</t>
  </si>
  <si>
    <t>Rita Escano</t>
  </si>
  <si>
    <t>4742 Friesian Dr</t>
  </si>
  <si>
    <t>Fairfield</t>
  </si>
  <si>
    <t>94534</t>
  </si>
  <si>
    <t>lloris87@comcast.net</t>
  </si>
  <si>
    <t>3NFL-BTR-162624B</t>
  </si>
  <si>
    <t>BTR-162630-US</t>
  </si>
  <si>
    <t>3NFL-BTR-162630</t>
  </si>
  <si>
    <t>SDH0096984651</t>
  </si>
  <si>
    <t>B Ortega</t>
  </si>
  <si>
    <t>760 LOMITA BLVD SPC 100</t>
  </si>
  <si>
    <t>Harbor City</t>
  </si>
  <si>
    <t>90710</t>
  </si>
  <si>
    <t>cdineza@sbcglobal.net</t>
  </si>
  <si>
    <t>BTR-162636-US</t>
  </si>
  <si>
    <t>3NFL-BTR-162636</t>
  </si>
  <si>
    <t>SDH0096984652</t>
  </si>
  <si>
    <t>Mirian Lopez</t>
  </si>
  <si>
    <t>3333 S Valcrest Dr</t>
  </si>
  <si>
    <t>West Valley City</t>
  </si>
  <si>
    <t>84119</t>
  </si>
  <si>
    <t>lopezenriquezmirian@gmail.com</t>
  </si>
  <si>
    <t>BTR-162647-US</t>
  </si>
  <si>
    <t>3NFL-BTR-162647</t>
  </si>
  <si>
    <t>SDH0096984654</t>
  </si>
  <si>
    <t>Joy Yoshida</t>
  </si>
  <si>
    <t>2575 West Horizon Ridge Parkway, Apt #3113</t>
  </si>
  <si>
    <t>89052</t>
  </si>
  <si>
    <t>j.yoshida@comcast.net</t>
  </si>
  <si>
    <t>BTR-162649-US</t>
  </si>
  <si>
    <t>3NFL-BTR-162649</t>
  </si>
  <si>
    <t>SDH0096984655</t>
  </si>
  <si>
    <t>Tia Xiong</t>
  </si>
  <si>
    <t>1952 Expedition Way</t>
  </si>
  <si>
    <t>95832</t>
  </si>
  <si>
    <t>xiongtia@gmail.com</t>
  </si>
  <si>
    <t>BTR-162661-US</t>
  </si>
  <si>
    <t>3NFL-BTR-162661A</t>
  </si>
  <si>
    <t>5XL</t>
  </si>
  <si>
    <t>SDH0096984656</t>
  </si>
  <si>
    <t>Armundo Borjas</t>
  </si>
  <si>
    <t>2710 W 6th Pl, PMB 59872</t>
  </si>
  <si>
    <t>Kennewick</t>
  </si>
  <si>
    <t>99336</t>
  </si>
  <si>
    <t>acesapp1@outlook.com</t>
  </si>
  <si>
    <t>3NFL-BTR-162661B</t>
  </si>
  <si>
    <t xml:space="preserve"> V 95</t>
  </si>
  <si>
    <t>BTR-162662-US</t>
  </si>
  <si>
    <t>3NFL-BTR-162662</t>
  </si>
  <si>
    <t>SDH0096984657</t>
  </si>
  <si>
    <t>Kurt Aquino</t>
  </si>
  <si>
    <t>2877 Granite Creek Pl</t>
  </si>
  <si>
    <t>San Jose</t>
  </si>
  <si>
    <t>95127</t>
  </si>
  <si>
    <t>kurtaquino_99@yahoo.com</t>
  </si>
  <si>
    <t>BTR-162663-US</t>
  </si>
  <si>
    <t>3NFL-BTR-162663</t>
  </si>
  <si>
    <t>SDH0096984659</t>
  </si>
  <si>
    <t>Pamela Kealaiki</t>
  </si>
  <si>
    <t>45-560 Keneke Place</t>
  </si>
  <si>
    <t>Kaneohe</t>
  </si>
  <si>
    <t>96744</t>
  </si>
  <si>
    <t>pkealaiki@gmail.com</t>
  </si>
  <si>
    <t>BTR-162664-US</t>
  </si>
  <si>
    <t>3NFL-BTR-162664</t>
  </si>
  <si>
    <t>SDH0096984660</t>
  </si>
  <si>
    <t>Tyler Hoecherl</t>
  </si>
  <si>
    <t>1017 E 75 S</t>
  </si>
  <si>
    <t>Bountiful</t>
  </si>
  <si>
    <t>84010</t>
  </si>
  <si>
    <t>tyler.hoecherl98@gmail.com</t>
  </si>
  <si>
    <t>BTR-162672-US</t>
  </si>
  <si>
    <t>3NFL-BTR-162672</t>
  </si>
  <si>
    <t>SDH0096984658</t>
  </si>
  <si>
    <t>Dorena Dixon</t>
  </si>
  <si>
    <t>7531 Canopus Ct</t>
  </si>
  <si>
    <t>Sparks</t>
  </si>
  <si>
    <t>89436</t>
  </si>
  <si>
    <t>doreena1119@yahoo.com</t>
  </si>
  <si>
    <t>BTR-162674-US</t>
  </si>
  <si>
    <t>3NFL-BTR-162674</t>
  </si>
  <si>
    <t>SDH0097440326</t>
  </si>
  <si>
    <t>Canseco Bryseida</t>
  </si>
  <si>
    <t>2001 Lakeview Rd Trlr 28, Trl 28</t>
  </si>
  <si>
    <t>Asheboro</t>
  </si>
  <si>
    <t>27203</t>
  </si>
  <si>
    <t>ramirezcansecobrys@gmail.com</t>
  </si>
  <si>
    <t>BTR-162679-US</t>
  </si>
  <si>
    <t>3NFL- -BTR-162679</t>
  </si>
  <si>
    <t>SDH0096984661</t>
  </si>
  <si>
    <t>Kase Olmos</t>
  </si>
  <si>
    <t>105 Patterson Ave</t>
  </si>
  <si>
    <t>95391</t>
  </si>
  <si>
    <t>kaseolmos@gmail.com</t>
  </si>
  <si>
    <t>BTR-162679-US-C</t>
  </si>
  <si>
    <t>3BCAP-BTR-162679</t>
  </si>
  <si>
    <t>SDH0096984662</t>
  </si>
  <si>
    <t>BTR-162682-US</t>
  </si>
  <si>
    <t>3NFL-BTR-162682</t>
  </si>
  <si>
    <t>SDH0096984663</t>
  </si>
  <si>
    <t>Eileen Chan</t>
  </si>
  <si>
    <t>718 University Avenue</t>
  </si>
  <si>
    <t>Honolulu</t>
  </si>
  <si>
    <t>96826</t>
  </si>
  <si>
    <t>bigbeagle1966@yahoo.com</t>
  </si>
  <si>
    <t>BTR-162683-US</t>
  </si>
  <si>
    <t>YWBZ2026128854</t>
  </si>
  <si>
    <t>Marie-nella Dutard</t>
  </si>
  <si>
    <t>5 Rue Du Maréchal Joffre</t>
  </si>
  <si>
    <t>Mourmelon-Le-Grand</t>
  </si>
  <si>
    <t>51400</t>
  </si>
  <si>
    <t>virtuo.z@hotmail.com</t>
  </si>
  <si>
    <t>BTR-162684-US</t>
  </si>
  <si>
    <t>YWBZ2026128855</t>
  </si>
  <si>
    <t>Pierre-Alexandre Chanut</t>
  </si>
  <si>
    <t>2 Rue Des Courbes</t>
  </si>
  <si>
    <t>Sanssac L Eglise</t>
  </si>
  <si>
    <t>43320</t>
  </si>
  <si>
    <t>pierrealexandre.chanut43@gmail.com</t>
  </si>
  <si>
    <t>BTR-162694-US</t>
  </si>
  <si>
    <t>YWBZ2026128856</t>
  </si>
  <si>
    <t>Franck Verbeque</t>
  </si>
  <si>
    <t>33 chemin des vergers</t>
  </si>
  <si>
    <t>Saint Victor De Cessieu</t>
  </si>
  <si>
    <t>38110</t>
  </si>
  <si>
    <t>frank.verbeque@yahoo.fr</t>
  </si>
  <si>
    <t>BTR-162704-US</t>
  </si>
  <si>
    <t>YWBZ2026128857</t>
  </si>
  <si>
    <t>Nicco Mathe</t>
  </si>
  <si>
    <t>17 Rue Des Moulins</t>
  </si>
  <si>
    <t>Tonnay-charente</t>
  </si>
  <si>
    <t>17430</t>
  </si>
  <si>
    <t>mathenicco87@gmail.com</t>
  </si>
  <si>
    <t>BTR-162708-US</t>
  </si>
  <si>
    <t>YWBZ2026128858</t>
  </si>
  <si>
    <t>david schneider</t>
  </si>
  <si>
    <t>2 RUE DES LILAS</t>
  </si>
  <si>
    <t>ANTEUIL</t>
  </si>
  <si>
    <t>25340</t>
  </si>
  <si>
    <t>schneider.david25@gmail.com</t>
  </si>
  <si>
    <t>BTR-162710-US</t>
  </si>
  <si>
    <t>YWBZ2026128859</t>
  </si>
  <si>
    <t>Alexandre Lebret</t>
  </si>
  <si>
    <t>12 Rue Des Sablons</t>
  </si>
  <si>
    <t>Breuillet</t>
  </si>
  <si>
    <t>91650</t>
  </si>
  <si>
    <t>lebretalexandre9@gmail.com</t>
  </si>
  <si>
    <t>BTR-162713-US</t>
  </si>
  <si>
    <t>YWBZ2026128860</t>
  </si>
  <si>
    <t>Adam Christiane</t>
  </si>
  <si>
    <t>Entree A Residence Le Gattilier, 56 Impasse Guy De Maupassant</t>
  </si>
  <si>
    <t>La Seyne Sur Mer</t>
  </si>
  <si>
    <t>83500</t>
  </si>
  <si>
    <t>christianecare0@gmail.com</t>
  </si>
  <si>
    <t>BTR-162714-US</t>
  </si>
  <si>
    <t>YWBZ2026128861</t>
  </si>
  <si>
    <t>Philippe Singal</t>
  </si>
  <si>
    <t>App 1 Bat A, Impasse Des Gabions</t>
  </si>
  <si>
    <t>Villers Sur Mer</t>
  </si>
  <si>
    <t>14640</t>
  </si>
  <si>
    <t>malanguerraycoralie1@gmail.com</t>
  </si>
  <si>
    <t>BTR-162715-US</t>
  </si>
  <si>
    <t>YWBZ2026128862</t>
  </si>
  <si>
    <t>Kévin Cousin</t>
  </si>
  <si>
    <t>295 rue florence Adrian</t>
  </si>
  <si>
    <t>Guiscard</t>
  </si>
  <si>
    <t>60640</t>
  </si>
  <si>
    <t>cousinkevin87@gmail.com</t>
  </si>
  <si>
    <t>BTR-162717-US</t>
  </si>
  <si>
    <t>YWBZ2026128863</t>
  </si>
  <si>
    <t>Camille Soufflet</t>
  </si>
  <si>
    <t>50 Rue Du Blanc Pignon</t>
  </si>
  <si>
    <t>Hautmont</t>
  </si>
  <si>
    <t>59330</t>
  </si>
  <si>
    <t>camille.soufflet1@icloud.com</t>
  </si>
  <si>
    <t>BTR-162724-US</t>
  </si>
  <si>
    <t>YWBZ2026128864</t>
  </si>
  <si>
    <t>Didier Tchétché</t>
  </si>
  <si>
    <t>12 Allees Forain Francois Verdier</t>
  </si>
  <si>
    <t>Toulouse</t>
  </si>
  <si>
    <t>31000</t>
  </si>
  <si>
    <t>didiertchetche@yahoo.fr</t>
  </si>
  <si>
    <t>BTR-162731-US</t>
  </si>
  <si>
    <t>YWBZ2026128865</t>
  </si>
  <si>
    <t>Steven Talavera</t>
  </si>
  <si>
    <t>21 rue de l’ambre</t>
  </si>
  <si>
    <t>La ferriere</t>
  </si>
  <si>
    <t>85280</t>
  </si>
  <si>
    <t>steventalaveragarcia1@gmail.com</t>
  </si>
  <si>
    <t>BTR-162734-US</t>
  </si>
  <si>
    <t>YWBZ2026128866</t>
  </si>
  <si>
    <t>Boris Goedert</t>
  </si>
  <si>
    <t>95 rue henri le chatelier</t>
  </si>
  <si>
    <t>Sedan</t>
  </si>
  <si>
    <t>08200</t>
  </si>
  <si>
    <t>borisgoedert08@gmail.com</t>
  </si>
  <si>
    <t>BTR-162810-US</t>
  </si>
  <si>
    <t>YWBZ2026128867</t>
  </si>
  <si>
    <t xml:space="preserve">Barchain nicolas </t>
  </si>
  <si>
    <t>6 rue antoine de st exupery, Appartement 16</t>
  </si>
  <si>
    <t>Chaumont</t>
  </si>
  <si>
    <t>52000</t>
  </si>
  <si>
    <t>nbarchain@gmail.com</t>
  </si>
  <si>
    <t>BTR-162817-US</t>
  </si>
  <si>
    <t>YWBZ2026128868</t>
  </si>
  <si>
    <t>Odin Bruno</t>
  </si>
  <si>
    <t>38 rue de Morifosse</t>
  </si>
  <si>
    <t>Argenteuil</t>
  </si>
  <si>
    <t>95100</t>
  </si>
  <si>
    <t>odin.bruno@neuf.fr</t>
  </si>
  <si>
    <t>BTR-162840-US</t>
  </si>
  <si>
    <t>YWBZ2026128869</t>
  </si>
  <si>
    <t>Djivandjy VIVIANE</t>
  </si>
  <si>
    <t>5 Lotissement La Garenne</t>
  </si>
  <si>
    <t>Boisville La St Pere</t>
  </si>
  <si>
    <t>28150</t>
  </si>
  <si>
    <t>antala@hotmail.fr</t>
  </si>
  <si>
    <t>BTR-162856-US</t>
  </si>
  <si>
    <t>2FJERSEY-E款</t>
  </si>
  <si>
    <t>YWBZ2026128870</t>
  </si>
  <si>
    <t>Estelle Trochu</t>
  </si>
  <si>
    <t>1 avenue ludovic cormerais</t>
  </si>
  <si>
    <t>Nantes</t>
  </si>
  <si>
    <t>44000</t>
  </si>
  <si>
    <t>estelle.trochu@icloud.com</t>
  </si>
  <si>
    <t>BTR-162868-US</t>
  </si>
  <si>
    <t>YWBZ2026128871</t>
  </si>
  <si>
    <t>Benjamin Perron</t>
  </si>
  <si>
    <t>4 rue Paul Delouvrier</t>
  </si>
  <si>
    <t>Bussy-Saint-Georges</t>
  </si>
  <si>
    <t>77600</t>
  </si>
  <si>
    <t>benjiroyo@gmail.com</t>
  </si>
  <si>
    <t>BTR-162881-US</t>
  </si>
  <si>
    <t>3NFL-BTR-162881</t>
  </si>
  <si>
    <t>SDH0097440327</t>
  </si>
  <si>
    <t>Sharon Skieresz</t>
  </si>
  <si>
    <t>6 Bentley Circle</t>
  </si>
  <si>
    <t>Lancaster</t>
  </si>
  <si>
    <t>14086</t>
  </si>
  <si>
    <t>sctpie523@aol.com</t>
  </si>
  <si>
    <t>BTR-162882-US</t>
  </si>
  <si>
    <t>3NFL-BTR-162882</t>
  </si>
  <si>
    <t>SDH0096984664</t>
  </si>
  <si>
    <t>Laura Godinez</t>
  </si>
  <si>
    <t>6300 W Tropicana Ave, 428</t>
  </si>
  <si>
    <t>89103</t>
  </si>
  <si>
    <t>allur.rennvotur@gmail.com</t>
  </si>
  <si>
    <t>BTR-162882-US-C</t>
  </si>
  <si>
    <t>3BCAP-BTR-162882</t>
  </si>
  <si>
    <t>SDH0096984665</t>
  </si>
  <si>
    <t>BTR-162901-US</t>
  </si>
  <si>
    <t>3NFL-BTR-162901</t>
  </si>
  <si>
    <t>SDH0097440328</t>
  </si>
  <si>
    <t>Clarrysa Kelley</t>
  </si>
  <si>
    <t>15 Horsethief Run Rd</t>
  </si>
  <si>
    <t>Helvetia</t>
  </si>
  <si>
    <t>WV</t>
  </si>
  <si>
    <t>26224</t>
  </si>
  <si>
    <t>kelleyclarrysa@gmail.com</t>
  </si>
  <si>
    <t>BTR-162906-US</t>
  </si>
  <si>
    <t>YWBZ2026128872</t>
  </si>
  <si>
    <t>Maxime Verger</t>
  </si>
  <si>
    <t>20 Place Du General De Gaulle</t>
  </si>
  <si>
    <t>Sceaux</t>
  </si>
  <si>
    <t>92330</t>
  </si>
  <si>
    <t>maxzourite@yahoo.fr</t>
  </si>
  <si>
    <t>BTR-162907-US</t>
  </si>
  <si>
    <t>YWBZ2026128873</t>
  </si>
  <si>
    <t>Olivier Dumont</t>
  </si>
  <si>
    <t>54 bis Rue Saint Lazare, Dans une impasse</t>
  </si>
  <si>
    <t>L Isle Adam</t>
  </si>
  <si>
    <t>95290</t>
  </si>
  <si>
    <t>bradpitt_77@hotmail.fr</t>
  </si>
  <si>
    <t>BTR-162924-US</t>
  </si>
  <si>
    <t>YWBZ2026128874</t>
  </si>
  <si>
    <t>Michael PESANTI</t>
  </si>
  <si>
    <t>96 chemin du pont Mansuy</t>
  </si>
  <si>
    <t>GERARDMER</t>
  </si>
  <si>
    <t>88400</t>
  </si>
  <si>
    <t>michael@pesanti.fr</t>
  </si>
  <si>
    <t>BTR-162926-US-3</t>
  </si>
  <si>
    <t>儿童20</t>
  </si>
  <si>
    <t>YWBZ2026128875</t>
  </si>
  <si>
    <t>Frédéric Schmit</t>
  </si>
  <si>
    <t>10 Rue Guynemer</t>
  </si>
  <si>
    <t>St Mande</t>
  </si>
  <si>
    <t>94160</t>
  </si>
  <si>
    <t>frederic.schmit@gmail.com</t>
  </si>
  <si>
    <t>BTR-162938-US</t>
  </si>
  <si>
    <t>YWBZ2026128876</t>
  </si>
  <si>
    <t>Thomas Maison</t>
  </si>
  <si>
    <t>52 Avenue de Villeneuve L’Etang, Appartement D22</t>
  </si>
  <si>
    <t>Versailles</t>
  </si>
  <si>
    <t>78000</t>
  </si>
  <si>
    <t>thomas_maison@outlook.fr</t>
  </si>
  <si>
    <t>BTR-162948-US</t>
  </si>
  <si>
    <t>3NFL-BTR-162948</t>
  </si>
  <si>
    <t>SDH0096984666</t>
  </si>
  <si>
    <t>Christina Nomee</t>
  </si>
  <si>
    <t>96 Clinic Rd N</t>
  </si>
  <si>
    <t>Box Elder</t>
  </si>
  <si>
    <t>MT</t>
  </si>
  <si>
    <t>59521</t>
  </si>
  <si>
    <t>chrisbelcourt18@gmail.com</t>
  </si>
  <si>
    <t>BTR-162957-US</t>
  </si>
  <si>
    <t>3NFL-BTR-162957A</t>
  </si>
  <si>
    <t>SDH0096984667</t>
  </si>
  <si>
    <t>Michiko Carter</t>
  </si>
  <si>
    <t>4770 S Pecos Rd</t>
  </si>
  <si>
    <t>89121</t>
  </si>
  <si>
    <t>cartermichiko@gmail.com</t>
  </si>
  <si>
    <t>3NFL-BTR-162957B</t>
  </si>
  <si>
    <t>BTR-162958-US</t>
  </si>
  <si>
    <t>YWBZ2026128877</t>
  </si>
  <si>
    <t>Nathan Girot</t>
  </si>
  <si>
    <t>294 alllée de la périgouelle</t>
  </si>
  <si>
    <t>Tourlaville</t>
  </si>
  <si>
    <t>50110</t>
  </si>
  <si>
    <t>girot.nathan@gmail.com</t>
  </si>
  <si>
    <t>BTR-162959-US</t>
  </si>
  <si>
    <t>YWBZ2026128878</t>
  </si>
  <si>
    <t>Jose Antunes</t>
  </si>
  <si>
    <t>5 Allee Du Bois Fleuri</t>
  </si>
  <si>
    <t>Pontault Combault</t>
  </si>
  <si>
    <t>77340</t>
  </si>
  <si>
    <t>jojo.antunes@wanadoo.fr</t>
  </si>
  <si>
    <t>BTR-162968-US</t>
  </si>
  <si>
    <t>YWBZ2026128879</t>
  </si>
  <si>
    <t>Nicolas Arteaud</t>
  </si>
  <si>
    <t>47 Route de Saujon</t>
  </si>
  <si>
    <t>Cozes</t>
  </si>
  <si>
    <t>17120</t>
  </si>
  <si>
    <t>pompier017@hotmail.fr</t>
  </si>
  <si>
    <t>BTR-162970-US</t>
  </si>
  <si>
    <t>YWBZ2026128880</t>
  </si>
  <si>
    <t>Viel Iel</t>
  </si>
  <si>
    <t>46 bis Rue Saint-Antonin</t>
  </si>
  <si>
    <t>Hautot-sur-Seine</t>
  </si>
  <si>
    <t>76113</t>
  </si>
  <si>
    <t>nicolasviel871@gmail.com</t>
  </si>
  <si>
    <t>BTR-162983-US</t>
  </si>
  <si>
    <t>3NFL-BTR-162983A</t>
  </si>
  <si>
    <t>SDH0096984668</t>
  </si>
  <si>
    <t>Judy Nguyen</t>
  </si>
  <si>
    <t>1027 Manor Rd</t>
  </si>
  <si>
    <t>El Sobrante</t>
  </si>
  <si>
    <t>94803</t>
  </si>
  <si>
    <t>judy.nguyen510@gmail.com</t>
  </si>
  <si>
    <t>3NFL-BTR-162983B</t>
  </si>
  <si>
    <t>BTR-162984-US</t>
  </si>
  <si>
    <t>3NFL-BTR-162984</t>
  </si>
  <si>
    <t>SDH0097440329</t>
  </si>
  <si>
    <t>Anni Braine</t>
  </si>
  <si>
    <t>630 Colorado ave, Apt 2</t>
  </si>
  <si>
    <t>Baltimore</t>
  </si>
  <si>
    <t>21210</t>
  </si>
  <si>
    <t>ahbraine43@gmail.com</t>
  </si>
  <si>
    <t>BTR-162986-US</t>
  </si>
  <si>
    <t>3NFL-BTR-162986</t>
  </si>
  <si>
    <t>SDH0096984670</t>
  </si>
  <si>
    <t>Audray Calaycay</t>
  </si>
  <si>
    <t>3501 Northshore Blvd Ne</t>
  </si>
  <si>
    <t>Tacoma</t>
  </si>
  <si>
    <t>98422</t>
  </si>
  <si>
    <t>jhoycee12@yahoo.com.ph</t>
  </si>
  <si>
    <t>BTR-163000-US</t>
  </si>
  <si>
    <t>3NFL-BTR-163000</t>
  </si>
  <si>
    <t>SDH0096984673</t>
  </si>
  <si>
    <t>Holly Sam</t>
  </si>
  <si>
    <t>45 Taboosi Way</t>
  </si>
  <si>
    <t>Yerington</t>
  </si>
  <si>
    <t>89447</t>
  </si>
  <si>
    <t>misterdilliond@gmail.com</t>
  </si>
  <si>
    <t>BTR-163004-US</t>
  </si>
  <si>
    <t>YWBZ2026128881</t>
  </si>
  <si>
    <t>Yohan Renaudin</t>
  </si>
  <si>
    <t>347 chemin de montanaud</t>
  </si>
  <si>
    <t>Saint pierre de clairac</t>
  </si>
  <si>
    <t>47270</t>
  </si>
  <si>
    <t>enzo06092015@gmail.com</t>
  </si>
  <si>
    <t>BTR-163009-US</t>
  </si>
  <si>
    <t>3NFL-BTR-163009</t>
  </si>
  <si>
    <t>SDH0096984669</t>
  </si>
  <si>
    <t>Analin Axibal</t>
  </si>
  <si>
    <t>2433 Orchard Dr, Unit B</t>
  </si>
  <si>
    <t>Fallon</t>
  </si>
  <si>
    <t>89406</t>
  </si>
  <si>
    <t>amaxibal@gmail.com</t>
  </si>
  <si>
    <t>BTR-163009-US-C</t>
  </si>
  <si>
    <t>3BCAP-BTR-163009</t>
  </si>
  <si>
    <t>SDH0096984671</t>
  </si>
  <si>
    <t>BTR-163022-US</t>
  </si>
  <si>
    <t>3NFL-BTR-163022A</t>
  </si>
  <si>
    <t>SDH0096984672</t>
  </si>
  <si>
    <t>Maria Eunese Gonzaga</t>
  </si>
  <si>
    <t>13 Algona blvd south</t>
  </si>
  <si>
    <t>Algona</t>
  </si>
  <si>
    <t>98001</t>
  </si>
  <si>
    <t>eunese57@yahoo.com</t>
  </si>
  <si>
    <t>3NFL-BTR-163022B</t>
  </si>
  <si>
    <t>BTR-163024-US</t>
  </si>
  <si>
    <t>3NFL-BTR-163024</t>
  </si>
  <si>
    <t>SDH0096984674</t>
  </si>
  <si>
    <t>Stephanie De leon</t>
  </si>
  <si>
    <t>2216 S King St, N/a</t>
  </si>
  <si>
    <t>Denver</t>
  </si>
  <si>
    <t>80219</t>
  </si>
  <si>
    <t>stephani.deleon13@gmail.com</t>
  </si>
  <si>
    <t>BTR-163044-US</t>
  </si>
  <si>
    <t>AJ1H-BTR-163044</t>
  </si>
  <si>
    <t>RUSH</t>
  </si>
  <si>
    <t>SDH0097343006</t>
  </si>
  <si>
    <t>Jordan Corba</t>
  </si>
  <si>
    <t>501 Clinton Church Rd</t>
  </si>
  <si>
    <t>Salley</t>
  </si>
  <si>
    <t>SC</t>
  </si>
  <si>
    <t>29137</t>
  </si>
  <si>
    <t>anthonycorba@gmail.com</t>
  </si>
  <si>
    <t>BTR-163045-US</t>
  </si>
  <si>
    <t>3NFL-BTR-163045</t>
  </si>
  <si>
    <t>SDH0096984675</t>
  </si>
  <si>
    <t>Susan Jang</t>
  </si>
  <si>
    <t>8864 KONA WAY</t>
  </si>
  <si>
    <t>Orangevale</t>
  </si>
  <si>
    <t>95662</t>
  </si>
  <si>
    <t>meiyet@aol.com</t>
  </si>
  <si>
    <t>BTR-163045-US-C</t>
  </si>
  <si>
    <t>3BCAP-BTR-163045</t>
  </si>
  <si>
    <t>SDH0096984762</t>
  </si>
  <si>
    <t>BTR-163046-US</t>
  </si>
  <si>
    <t>3NFL-BTR-163046A</t>
  </si>
  <si>
    <t>SDH0096984677</t>
  </si>
  <si>
    <t>Laura Jessee</t>
  </si>
  <si>
    <t>725 E Gopp Ct</t>
  </si>
  <si>
    <t>Cheyenne</t>
  </si>
  <si>
    <t>WY</t>
  </si>
  <si>
    <t>82007</t>
  </si>
  <si>
    <t>laura_jessee@hotmail.com</t>
  </si>
  <si>
    <t>3NFL-BTR-163046B</t>
  </si>
  <si>
    <t>3NFL-BTR-163046C</t>
  </si>
  <si>
    <t>BTR-163048-US</t>
  </si>
  <si>
    <t>3NFL-BTR-163048</t>
  </si>
  <si>
    <t>SDH0096984676</t>
  </si>
  <si>
    <t>Rio Maja</t>
  </si>
  <si>
    <t>14358 ORO GRANDE ST</t>
  </si>
  <si>
    <t>Sylmar</t>
  </si>
  <si>
    <t>91342</t>
  </si>
  <si>
    <t>riomaja@yahoo.com</t>
  </si>
  <si>
    <t>BTR-163053-US</t>
  </si>
  <si>
    <t>3NFL-BTR-163053</t>
  </si>
  <si>
    <t>SDH0096984678</t>
  </si>
  <si>
    <t>JulieAnn Jenson</t>
  </si>
  <si>
    <t>Po Box 1741</t>
  </si>
  <si>
    <t>Hawthorne</t>
  </si>
  <si>
    <t>89415</t>
  </si>
  <si>
    <t>julieannjenson@yahoo.com</t>
  </si>
  <si>
    <t>BTR-163056-US</t>
  </si>
  <si>
    <t>3NFL-BTR-163056</t>
  </si>
  <si>
    <t>SDH0096984680</t>
  </si>
  <si>
    <t>Vanessa Ocariza</t>
  </si>
  <si>
    <t>1128 Ala Napunani Street, 1204</t>
  </si>
  <si>
    <t>96818</t>
  </si>
  <si>
    <t>veecocariza@gmail.com</t>
  </si>
  <si>
    <t>BTR-163061-US</t>
  </si>
  <si>
    <t>3NFL-BTR-163061</t>
  </si>
  <si>
    <t>SDH0096984679</t>
  </si>
  <si>
    <t>Maya Searle</t>
  </si>
  <si>
    <t>1123 E Broadwing Ln, B315</t>
  </si>
  <si>
    <t>Midvale</t>
  </si>
  <si>
    <t>84047</t>
  </si>
  <si>
    <t>joyesoccer@gmail.com</t>
  </si>
  <si>
    <t>BTR-163067-US</t>
  </si>
  <si>
    <t>3NFL-BTR-163067</t>
  </si>
  <si>
    <t>SDH0096984682</t>
  </si>
  <si>
    <t>Richelle Magat</t>
  </si>
  <si>
    <t>201 Citrus Avenue</t>
  </si>
  <si>
    <t>Daly City</t>
  </si>
  <si>
    <t>94014</t>
  </si>
  <si>
    <t>magat.richelle@yahoo.com</t>
  </si>
  <si>
    <t>BTR-163070-US</t>
  </si>
  <si>
    <t>3NFL-BTR-163070</t>
  </si>
  <si>
    <t>SDH0096984681</t>
  </si>
  <si>
    <t>Helen Aklile</t>
  </si>
  <si>
    <t>4560 Mission Gorge Place, Apt 309</t>
  </si>
  <si>
    <t>92120</t>
  </si>
  <si>
    <t>hely2006@yahoo.com</t>
  </si>
  <si>
    <t>BTR-163076-US</t>
  </si>
  <si>
    <t>3NFL-BTR-163076</t>
  </si>
  <si>
    <t>SDH0096984683</t>
  </si>
  <si>
    <t>Jamie Lee</t>
  </si>
  <si>
    <t>2611 204th St SW, Unit B</t>
  </si>
  <si>
    <t>98036</t>
  </si>
  <si>
    <t>jamielee1995.jl@gmail.com</t>
  </si>
  <si>
    <t>BTR-163077-US</t>
  </si>
  <si>
    <t>3NFL-BTR-163077</t>
  </si>
  <si>
    <t>SDH0096984684</t>
  </si>
  <si>
    <t>Jason Figueroa</t>
  </si>
  <si>
    <t>2923 N 63RD ST</t>
  </si>
  <si>
    <t>Mesa</t>
  </si>
  <si>
    <t>85215</t>
  </si>
  <si>
    <t>azpilot06@yahoo.com</t>
  </si>
  <si>
    <t>GMS-572231-US</t>
  </si>
  <si>
    <t>AJ1H-GMS-572231</t>
  </si>
  <si>
    <t>SDH0097343007</t>
  </si>
  <si>
    <t>Tawnee B</t>
  </si>
  <si>
    <t>8860 W Single Tree Ln</t>
  </si>
  <si>
    <t>Payson</t>
  </si>
  <si>
    <t>85541</t>
  </si>
  <si>
    <t>tawnee.brunson5@gmail.com</t>
  </si>
  <si>
    <t>GMS-572236-US</t>
  </si>
  <si>
    <t>AF1L-GMS-572236</t>
  </si>
  <si>
    <t>SDH0097343008</t>
  </si>
  <si>
    <t>Clayton Markley</t>
  </si>
  <si>
    <t>1042 willow rd</t>
  </si>
  <si>
    <t>Springfield</t>
  </si>
  <si>
    <t>45502</t>
  </si>
  <si>
    <t>markleyclay@outlook.com</t>
  </si>
  <si>
    <t>GMS-572948-US</t>
  </si>
  <si>
    <t>AF1L-GMS-572948</t>
  </si>
  <si>
    <t>SDH0097343009</t>
  </si>
  <si>
    <t>Jeremy Ricketson</t>
  </si>
  <si>
    <t>1533 east webster street</t>
  </si>
  <si>
    <t>Morganfield</t>
  </si>
  <si>
    <t>42437</t>
  </si>
  <si>
    <t>jeremyricketson91@gmail.com</t>
  </si>
  <si>
    <t>GMS-573004-US</t>
  </si>
  <si>
    <t>AF1L-GMS-573004</t>
  </si>
  <si>
    <t>SDH0097343012</t>
  </si>
  <si>
    <t>Colin Murdock</t>
  </si>
  <si>
    <t>3700 willow creek road</t>
  </si>
  <si>
    <t>Prescott</t>
  </si>
  <si>
    <t>86302</t>
  </si>
  <si>
    <t>colinmurdock06@gmail.com</t>
  </si>
  <si>
    <t>MST-1246515-US</t>
  </si>
  <si>
    <t>AF1L-MST-1246515</t>
  </si>
  <si>
    <t>Moon</t>
  </si>
  <si>
    <t>SDH0097343010</t>
  </si>
  <si>
    <t>Moon Rowe</t>
  </si>
  <si>
    <t>1065 Arkell Rd</t>
  </si>
  <si>
    <t>Walnut Creek</t>
  </si>
  <si>
    <t>94598</t>
  </si>
  <si>
    <t>moonsiepiess@gmail.com</t>
  </si>
  <si>
    <t>MST-1250484-US</t>
  </si>
  <si>
    <t>AF1L-MST-1250484</t>
  </si>
  <si>
    <t>Neusha</t>
  </si>
  <si>
    <t>SDH0097343015</t>
  </si>
  <si>
    <t xml:space="preserve">Neusha </t>
  </si>
  <si>
    <t>26731 Via grande</t>
  </si>
  <si>
    <t>Mission Viejo</t>
  </si>
  <si>
    <t>92691</t>
  </si>
  <si>
    <t>neushapad@gmail.com</t>
  </si>
  <si>
    <t>USK-2280964-US-1</t>
  </si>
  <si>
    <t>AF1L-USK-2280964</t>
  </si>
  <si>
    <t>Kyle</t>
  </si>
  <si>
    <t>SDH0097343011</t>
  </si>
  <si>
    <t>Kyle Swenson</t>
  </si>
  <si>
    <t>18 Bakers Creek Rd</t>
  </si>
  <si>
    <t>Warwick</t>
  </si>
  <si>
    <t>RI</t>
  </si>
  <si>
    <t>02886</t>
  </si>
  <si>
    <t>kyleswenson94@yahoo.com</t>
  </si>
  <si>
    <t>USK-2280976-US</t>
  </si>
  <si>
    <t>AF1L-USK-2280976</t>
  </si>
  <si>
    <t>Zachary</t>
  </si>
  <si>
    <t>SDH0097343017</t>
  </si>
  <si>
    <t>Zachary SanMiguel</t>
  </si>
  <si>
    <t>1302 Cedar E</t>
  </si>
  <si>
    <t>Alvin</t>
  </si>
  <si>
    <t>77511</t>
  </si>
  <si>
    <t>zachary2002sanmiguel@gmail.com</t>
  </si>
  <si>
    <t>USK-2280986-US</t>
  </si>
  <si>
    <t>AF1L-USK-2280986</t>
  </si>
  <si>
    <t>Fabiola Vainer</t>
  </si>
  <si>
    <t>SDH0097343013</t>
  </si>
  <si>
    <t>Fabiola Fernandez</t>
  </si>
  <si>
    <t>1900 BEAUFORT TER</t>
  </si>
  <si>
    <t>95131</t>
  </si>
  <si>
    <t>fabiolavainer@gmail.com</t>
  </si>
  <si>
    <t>USK-2281016-US</t>
  </si>
  <si>
    <t>AF1L-USK-2281016</t>
  </si>
  <si>
    <t>Jevon</t>
  </si>
  <si>
    <t>SDH0097343014</t>
  </si>
  <si>
    <t>Jevon Fowler</t>
  </si>
  <si>
    <t>3325 Center Ave</t>
  </si>
  <si>
    <t>Richmond</t>
  </si>
  <si>
    <t>94804</t>
  </si>
  <si>
    <t>mrjevon9@gmail.com</t>
  </si>
  <si>
    <t>USK-2281715-US-1</t>
  </si>
  <si>
    <t>AF1L-USK-2281715</t>
  </si>
  <si>
    <t>Tori</t>
  </si>
  <si>
    <t>SDH0093296335</t>
  </si>
  <si>
    <t>Victoria Lind</t>
  </si>
  <si>
    <t>Unit 2040 Box DPO AE 09854-0031</t>
  </si>
  <si>
    <t>DPO</t>
  </si>
  <si>
    <t>AE</t>
  </si>
  <si>
    <t>09854</t>
  </si>
  <si>
    <t>lindtori767@gmail.com</t>
  </si>
  <si>
    <t>USK-2282815-US</t>
  </si>
  <si>
    <t>AF1L-USK-2282815</t>
  </si>
  <si>
    <t>SDH0097343016</t>
  </si>
  <si>
    <t>Mike Swartz</t>
  </si>
  <si>
    <t>2 HUNTINGTON ST</t>
  </si>
  <si>
    <t>Natick</t>
  </si>
  <si>
    <t>MA</t>
  </si>
  <si>
    <t>01760</t>
  </si>
  <si>
    <t>mfs13@aol.com</t>
  </si>
  <si>
    <t>USK-2283044-US</t>
  </si>
  <si>
    <t>AF1L-USK-2283044</t>
  </si>
  <si>
    <t>SDH0097343018</t>
  </si>
  <si>
    <t>Cheryl Carlisle</t>
  </si>
  <si>
    <t>679 E Twinsburg Rd</t>
  </si>
  <si>
    <t>Northfield</t>
  </si>
  <si>
    <t>44067</t>
  </si>
  <si>
    <t>carl1032@hotmail.com</t>
  </si>
  <si>
    <t>USK-2284185-US</t>
  </si>
  <si>
    <t>AF1L-USK-2284185</t>
  </si>
  <si>
    <t>SDH0097343019</t>
  </si>
  <si>
    <t>Kellie Stoeppler</t>
  </si>
  <si>
    <t>3512 S Highway 77</t>
  </si>
  <si>
    <t>Waxahachie</t>
  </si>
  <si>
    <t>75165</t>
  </si>
  <si>
    <t>kelliestoeppler@aol.com</t>
  </si>
  <si>
    <t>原单号</t>
  </si>
  <si>
    <t>转单号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</si>
</sst>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30">
    <font>
      <sz val="11"/>
      <color theme="1"/>
      <name val="DengXian"/>
      <charset val="134"/>
    </font>
    <font>
      <sz val="10"/>
      <name val="Arial"/>
      <charset val="0"/>
    </font>
    <font>
      <b/>
      <sz val="12"/>
      <name val="宋体"/>
      <charset val="0"/>
    </font>
    <font>
      <sz val="12"/>
      <name val="宋体"/>
      <charset val="0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name val="微软雅黑"/>
      <charset val="134"/>
    </font>
    <font>
      <u/>
      <sz val="14"/>
      <color rgb="FF0000FF"/>
      <name val="微软雅黑"/>
      <charset val="134"/>
    </font>
    <font>
      <u/>
      <sz val="14"/>
      <color rgb="FF80008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NumberFormat="1" applyFont="1" applyFill="1" applyBorder="1" applyAlignment="1"/>
    <xf numFmtId="0" fontId="2" fillId="2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1" fillId="0" borderId="0" xfId="0" applyFont="1" applyFill="1" applyBorder="1" applyAlignment="1"/>
    <xf numFmtId="0" fontId="4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176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5" fillId="5" borderId="0" xfId="0" applyFont="1" applyFill="1" applyAlignment="1">
      <alignment horizontal="center" vertical="center"/>
    </xf>
    <xf numFmtId="176" fontId="5" fillId="4" borderId="0" xfId="0" applyNumberFormat="1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8"/>
  <sheetViews>
    <sheetView tabSelected="1" zoomScale="70" zoomScaleNormal="70" topLeftCell="A214" workbookViewId="0">
      <selection activeCell="I207" sqref="I207:I229"/>
    </sheetView>
  </sheetViews>
  <sheetFormatPr defaultColWidth="9.55752212389381" defaultRowHeight="30" customHeight="1"/>
  <cols>
    <col min="1" max="1" width="26.1858407079646" style="7" customWidth="1"/>
    <col min="2" max="3" width="19" style="7" customWidth="1"/>
    <col min="4" max="4" width="49.9646017699115" style="7" customWidth="1"/>
    <col min="5" max="5" width="30.0530973451327" style="7" hidden="1" customWidth="1"/>
    <col min="6" max="6" width="19" style="7" hidden="1" customWidth="1"/>
    <col min="7" max="7" width="19" style="8" hidden="1" customWidth="1"/>
    <col min="8" max="8" width="34.2743362831858" style="7" hidden="1" customWidth="1"/>
    <col min="9" max="9" width="34.2743362831858" style="7" customWidth="1"/>
    <col min="10" max="22" width="19" style="7" customWidth="1"/>
    <col min="23" max="16384" width="9.55752212389381" style="7"/>
  </cols>
  <sheetData>
    <row r="1" s="5" customFormat="1" ht="50" customHeight="1" spans="1:2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customHeight="1" spans="1:22">
      <c r="A2" s="7" t="s">
        <v>22</v>
      </c>
      <c r="B2" s="11">
        <v>46174</v>
      </c>
      <c r="C2" s="12" t="str">
        <f>HYPERLINK("https://drive.google.com/drive/folders/1YMhxu7LGDWTNbPrDyc1KbEakWPjWJ-oR","https://drive.google.com/drive/folders/1YMhxu7LGDWTNbPrDyc1KbEakWPjWJ-oR")</f>
        <v>https://drive.google.com/drive/folders/1YMhxu7LGDWTNbPrDyc1KbEakWPjWJ-oR</v>
      </c>
      <c r="D2" s="7" t="s">
        <v>23</v>
      </c>
      <c r="E2" s="7" t="s">
        <v>24</v>
      </c>
      <c r="G2" s="8">
        <v>1</v>
      </c>
      <c r="I2" s="7" t="s">
        <v>25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>
        <v>15044788320</v>
      </c>
      <c r="Q2" s="7" t="s">
        <v>32</v>
      </c>
      <c r="S2" s="7">
        <v>115272</v>
      </c>
      <c r="T2" s="7" t="s">
        <v>33</v>
      </c>
    </row>
    <row r="3" customHeight="1" spans="1:22">
      <c r="A3" s="7" t="s">
        <v>22</v>
      </c>
      <c r="B3" s="11">
        <v>46174</v>
      </c>
      <c r="C3" s="12" t="str">
        <f>HYPERLINK("https://drive.google.com/drive/folders/1skvU9Pg32OK_g3P0kNG7eFGEZVAMsT9q","https://drive.google.com/drive/folders/1skvU9Pg32OK_g3P0kNG7eFGEZVAMsT9q")</f>
        <v>https://drive.google.com/drive/folders/1skvU9Pg32OK_g3P0kNG7eFGEZVAMsT9q</v>
      </c>
      <c r="D3" s="7" t="s">
        <v>34</v>
      </c>
      <c r="E3" s="7" t="s">
        <v>24</v>
      </c>
      <c r="G3" s="13">
        <v>2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7" t="s">
        <v>30</v>
      </c>
      <c r="O3" s="7" t="s">
        <v>31</v>
      </c>
      <c r="P3" s="7">
        <v>15044788320</v>
      </c>
      <c r="Q3" s="7" t="s">
        <v>32</v>
      </c>
      <c r="S3" s="7">
        <v>115273</v>
      </c>
      <c r="T3" s="7" t="s">
        <v>33</v>
      </c>
    </row>
    <row r="4" customHeight="1" spans="1:22">
      <c r="A4" s="7" t="s">
        <v>35</v>
      </c>
      <c r="B4" s="11">
        <v>46174</v>
      </c>
      <c r="C4" s="12" t="str">
        <f>HYPERLINK("https://drive.google.com/drive/folders/1QtGXdRrvpWLUXtKzzSq-aYVO5bz3Nrlz","https://drive.google.com/drive/folders/1QtGXdRrvpWLUXtKzzSq-aYVO5bz3Nrlz")</f>
        <v>https://drive.google.com/drive/folders/1QtGXdRrvpWLUXtKzzSq-aYVO5bz3Nrlz</v>
      </c>
      <c r="D4" s="7" t="s">
        <v>36</v>
      </c>
      <c r="E4" s="7" t="s">
        <v>37</v>
      </c>
      <c r="G4" s="8">
        <v>1</v>
      </c>
      <c r="I4" s="7" t="s">
        <v>38</v>
      </c>
      <c r="J4" s="7" t="s">
        <v>39</v>
      </c>
      <c r="K4" s="7" t="s">
        <v>40</v>
      </c>
      <c r="L4" s="7" t="s">
        <v>41</v>
      </c>
      <c r="M4" s="7" t="s">
        <v>42</v>
      </c>
      <c r="N4" s="7" t="s">
        <v>43</v>
      </c>
      <c r="O4" s="7" t="s">
        <v>31</v>
      </c>
      <c r="P4" s="7">
        <v>12033951607</v>
      </c>
      <c r="Q4" s="7" t="s">
        <v>44</v>
      </c>
      <c r="S4" s="7">
        <v>115304</v>
      </c>
      <c r="T4" s="7" t="s">
        <v>33</v>
      </c>
    </row>
    <row r="5" customHeight="1" spans="1:22">
      <c r="A5" s="7" t="s">
        <v>35</v>
      </c>
      <c r="B5" s="11">
        <v>46174</v>
      </c>
      <c r="C5" s="12" t="str">
        <f>HYPERLINK("https://drive.google.com/drive/folders/1YMhxu7LGDWTNbPrDyc1KbEakWPjWJ-oR","https://drive.google.com/drive/folders/1YMhxu7LGDWTNbPrDyc1KbEakWPjWJ-oR")</f>
        <v>https://drive.google.com/drive/folders/1YMhxu7LGDWTNbPrDyc1KbEakWPjWJ-oR</v>
      </c>
      <c r="D5" s="7" t="s">
        <v>45</v>
      </c>
      <c r="E5" s="7" t="s">
        <v>46</v>
      </c>
      <c r="G5" s="8">
        <v>1</v>
      </c>
      <c r="I5" s="7" t="s">
        <v>38</v>
      </c>
      <c r="J5" s="7" t="s">
        <v>39</v>
      </c>
      <c r="K5" s="7" t="s">
        <v>40</v>
      </c>
      <c r="L5" s="7" t="s">
        <v>41</v>
      </c>
      <c r="M5" s="7" t="s">
        <v>42</v>
      </c>
      <c r="N5" s="7" t="s">
        <v>43</v>
      </c>
      <c r="O5" s="7" t="s">
        <v>31</v>
      </c>
      <c r="P5" s="7">
        <v>12033951607</v>
      </c>
      <c r="Q5" s="7" t="s">
        <v>44</v>
      </c>
      <c r="S5" s="7">
        <v>115305</v>
      </c>
      <c r="T5" s="7" t="s">
        <v>33</v>
      </c>
    </row>
    <row r="6" customHeight="1" spans="1:22">
      <c r="A6" s="7" t="s">
        <v>47</v>
      </c>
      <c r="B6" s="11">
        <v>46174</v>
      </c>
      <c r="C6" s="12" t="str">
        <f>HYPERLINK("https://drive.google.com/drive/folders/1skvU9Pg32OK_g3P0kNG7eFGEZVAMsT9q","https://drive.google.com/drive/folders/1skvU9Pg32OK_g3P0kNG7eFGEZVAMsT9q")</f>
        <v>https://drive.google.com/drive/folders/1skvU9Pg32OK_g3P0kNG7eFGEZVAMsT9q</v>
      </c>
      <c r="D6" s="7" t="s">
        <v>48</v>
      </c>
      <c r="E6" s="7" t="s">
        <v>49</v>
      </c>
      <c r="G6" s="8">
        <v>1</v>
      </c>
      <c r="I6" s="7" t="s">
        <v>50</v>
      </c>
      <c r="J6" s="7" t="s">
        <v>51</v>
      </c>
      <c r="K6" s="7" t="s">
        <v>52</v>
      </c>
      <c r="L6" s="7" t="s">
        <v>53</v>
      </c>
      <c r="M6" s="7" t="s">
        <v>54</v>
      </c>
      <c r="N6" s="7" t="s">
        <v>55</v>
      </c>
      <c r="O6" s="7" t="s">
        <v>31</v>
      </c>
      <c r="P6" s="7">
        <v>15162864363</v>
      </c>
      <c r="Q6" s="7" t="s">
        <v>56</v>
      </c>
      <c r="S6" s="7">
        <v>115314</v>
      </c>
      <c r="T6" s="7" t="s">
        <v>33</v>
      </c>
    </row>
    <row r="7" customHeight="1" spans="1:22">
      <c r="A7" s="7" t="s">
        <v>57</v>
      </c>
      <c r="B7" s="11">
        <v>46174</v>
      </c>
      <c r="C7" s="12" t="str">
        <f>HYPERLINK("https://drive.google.com/drive/folders/1c8kaz5Nfu_zVdFsmZyZ-nilR32ahg3XT?hl=vi","https://drive.google.com/drive/folders/1c8kaz5Nfu_zVdFsmZyZ-nilR32ahg3XT?hl=vi")</f>
        <v>https://drive.google.com/drive/folders/1c8kaz5Nfu_zVdFsmZyZ-nilR32ahg3XT?hl=vi</v>
      </c>
      <c r="D7" s="7" t="s">
        <v>58</v>
      </c>
      <c r="E7" s="7" t="s">
        <v>59</v>
      </c>
      <c r="G7" s="8">
        <v>1</v>
      </c>
      <c r="I7" s="7" t="s">
        <v>60</v>
      </c>
      <c r="J7" s="7" t="s">
        <v>61</v>
      </c>
      <c r="K7" s="7" t="s">
        <v>62</v>
      </c>
      <c r="L7" s="7" t="s">
        <v>63</v>
      </c>
      <c r="M7" s="7" t="s">
        <v>64</v>
      </c>
      <c r="N7" s="7" t="s">
        <v>65</v>
      </c>
      <c r="O7" s="7" t="s">
        <v>31</v>
      </c>
      <c r="P7" s="7">
        <v>18186341920</v>
      </c>
      <c r="Q7" s="7" t="s">
        <v>66</v>
      </c>
      <c r="S7" s="7">
        <v>115327</v>
      </c>
      <c r="T7" s="7" t="s">
        <v>33</v>
      </c>
    </row>
    <row r="8" customHeight="1" spans="1:22">
      <c r="A8" s="7" t="s">
        <v>67</v>
      </c>
      <c r="B8" s="11">
        <v>46174</v>
      </c>
      <c r="C8" s="12" t="str">
        <f>HYPERLINK("https://drive.google.com/drive/folders/1v43ry5EjlMuZpwuUVQfAIqbxWLbWDNBC","https://drive.google.com/drive/folders/1v43ry5EjlMuZpwuUVQfAIqbxWLbWDNBC")</f>
        <v>https://drive.google.com/drive/folders/1v43ry5EjlMuZpwuUVQfAIqbxWLbWDNBC</v>
      </c>
      <c r="D8" s="7" t="s">
        <v>68</v>
      </c>
      <c r="E8" s="7" t="s">
        <v>69</v>
      </c>
      <c r="G8" s="8">
        <v>1</v>
      </c>
      <c r="I8" s="7" t="s">
        <v>70</v>
      </c>
      <c r="J8" s="7" t="s">
        <v>71</v>
      </c>
      <c r="K8" s="7" t="s">
        <v>72</v>
      </c>
      <c r="L8" s="7" t="s">
        <v>73</v>
      </c>
      <c r="M8" s="7" t="s">
        <v>74</v>
      </c>
      <c r="N8" s="7" t="s">
        <v>75</v>
      </c>
      <c r="O8" s="7" t="s">
        <v>31</v>
      </c>
      <c r="P8" s="7">
        <v>19798779138</v>
      </c>
      <c r="Q8" s="7" t="s">
        <v>76</v>
      </c>
      <c r="S8" s="7">
        <v>115337</v>
      </c>
      <c r="T8" s="7" t="s">
        <v>33</v>
      </c>
    </row>
    <row r="9" customHeight="1" spans="1:22">
      <c r="A9" s="7" t="s">
        <v>77</v>
      </c>
      <c r="B9" s="11">
        <v>46174</v>
      </c>
      <c r="C9" s="12" t="str">
        <f>HYPERLINK("https://drive.google.com/drive/folders/1v43ry5EjlMuZpwuUVQfAIqbxWLbWDNBC","https://drive.google.com/drive/folders/1v43ry5EjlMuZpwuUVQfAIqbxWLbWDNBC")</f>
        <v>https://drive.google.com/drive/folders/1v43ry5EjlMuZpwuUVQfAIqbxWLbWDNBC</v>
      </c>
      <c r="D9" s="7" t="s">
        <v>78</v>
      </c>
      <c r="E9" s="7" t="s">
        <v>79</v>
      </c>
      <c r="G9" s="8">
        <v>1</v>
      </c>
      <c r="I9" s="7" t="s">
        <v>80</v>
      </c>
      <c r="J9" s="7" t="s">
        <v>81</v>
      </c>
      <c r="K9" s="7" t="s">
        <v>82</v>
      </c>
      <c r="L9" s="7" t="s">
        <v>83</v>
      </c>
      <c r="M9" s="7" t="s">
        <v>74</v>
      </c>
      <c r="N9" s="7" t="s">
        <v>84</v>
      </c>
      <c r="O9" s="7" t="s">
        <v>31</v>
      </c>
      <c r="P9" s="7">
        <v>12107999069</v>
      </c>
      <c r="Q9" s="7" t="s">
        <v>85</v>
      </c>
      <c r="S9" s="7">
        <v>115347</v>
      </c>
      <c r="T9" s="7" t="s">
        <v>33</v>
      </c>
    </row>
    <row r="10" customHeight="1" spans="1:22">
      <c r="A10" s="7" t="s">
        <v>77</v>
      </c>
      <c r="B10" s="11">
        <v>46174</v>
      </c>
      <c r="C10" s="12" t="str">
        <f>HYPERLINK("https://drive.google.com/drive/folders/1v43ry5EjlMuZpwuUVQfAIqbxWLbWDNBC","https://drive.google.com/drive/folders/1v43ry5EjlMuZpwuUVQfAIqbxWLbWDNBC")</f>
        <v>https://drive.google.com/drive/folders/1v43ry5EjlMuZpwuUVQfAIqbxWLbWDNBC</v>
      </c>
      <c r="D10" s="7" t="s">
        <v>86</v>
      </c>
      <c r="E10" s="7" t="s">
        <v>49</v>
      </c>
      <c r="G10" s="8">
        <v>1</v>
      </c>
      <c r="I10" s="7" t="s">
        <v>80</v>
      </c>
      <c r="J10" s="7" t="s">
        <v>81</v>
      </c>
      <c r="K10" s="7" t="s">
        <v>82</v>
      </c>
      <c r="L10" s="7" t="s">
        <v>83</v>
      </c>
      <c r="M10" s="7" t="s">
        <v>74</v>
      </c>
      <c r="N10" s="7" t="s">
        <v>84</v>
      </c>
      <c r="O10" s="7" t="s">
        <v>31</v>
      </c>
      <c r="P10" s="7">
        <v>12107999069</v>
      </c>
      <c r="Q10" s="7" t="s">
        <v>85</v>
      </c>
      <c r="S10" s="7">
        <v>115348</v>
      </c>
      <c r="T10" s="7" t="s">
        <v>33</v>
      </c>
    </row>
    <row r="11" customHeight="1" spans="1:22">
      <c r="A11" s="7" t="s">
        <v>87</v>
      </c>
      <c r="B11" s="11">
        <v>46174</v>
      </c>
      <c r="C11" s="12" t="str">
        <f>HYPERLINK("https://drive.google.com/drive/folders/1c8kaz5Nfu_zVdFsmZyZ-nilR32ahg3XT?hl=vi","https://drive.google.com/drive/folders/1c8kaz5Nfu_zVdFsmZyZ-nilR32ahg3XT?hl=vi")</f>
        <v>https://drive.google.com/drive/folders/1c8kaz5Nfu_zVdFsmZyZ-nilR32ahg3XT?hl=vi</v>
      </c>
      <c r="D11" s="7" t="s">
        <v>88</v>
      </c>
      <c r="E11" s="7" t="s">
        <v>24</v>
      </c>
      <c r="G11" s="8">
        <v>1</v>
      </c>
      <c r="I11" s="7" t="s">
        <v>89</v>
      </c>
      <c r="J11" s="7" t="s">
        <v>90</v>
      </c>
      <c r="K11" s="7" t="s">
        <v>91</v>
      </c>
      <c r="L11" s="7" t="s">
        <v>92</v>
      </c>
      <c r="M11" s="7" t="s">
        <v>64</v>
      </c>
      <c r="N11" s="7" t="s">
        <v>93</v>
      </c>
      <c r="O11" s="7" t="s">
        <v>31</v>
      </c>
      <c r="P11" s="7">
        <v>15628229162</v>
      </c>
      <c r="Q11" s="7" t="s">
        <v>94</v>
      </c>
      <c r="S11" s="7">
        <v>115369</v>
      </c>
      <c r="T11" s="7" t="s">
        <v>33</v>
      </c>
    </row>
    <row r="12" customHeight="1" spans="1:22">
      <c r="A12" s="7" t="s">
        <v>95</v>
      </c>
      <c r="B12" s="11">
        <v>46174</v>
      </c>
      <c r="C12" s="12" t="str">
        <f>HYPERLINK("https://drive.google.com/drive/folders/1c8kaz5Nfu_zVdFsmZyZ-nilR32ahg3XT?hl=vi","https://drive.google.com/drive/folders/1c8kaz5Nfu_zVdFsmZyZ-nilR32ahg3XT?hl=vi")</f>
        <v>https://drive.google.com/drive/folders/1c8kaz5Nfu_zVdFsmZyZ-nilR32ahg3XT?hl=vi</v>
      </c>
      <c r="D12" s="7" t="s">
        <v>96</v>
      </c>
      <c r="E12" s="7" t="s">
        <v>24</v>
      </c>
      <c r="G12" s="8">
        <v>1</v>
      </c>
      <c r="I12" s="7" t="s">
        <v>97</v>
      </c>
      <c r="J12" s="7" t="s">
        <v>98</v>
      </c>
      <c r="K12" s="7" t="s">
        <v>99</v>
      </c>
      <c r="L12" s="7" t="s">
        <v>100</v>
      </c>
      <c r="M12" s="7" t="s">
        <v>74</v>
      </c>
      <c r="N12" s="7" t="s">
        <v>101</v>
      </c>
      <c r="O12" s="7" t="s">
        <v>31</v>
      </c>
      <c r="P12" s="7">
        <v>17132061670</v>
      </c>
      <c r="Q12" s="7" t="s">
        <v>102</v>
      </c>
      <c r="S12" s="7">
        <v>115378</v>
      </c>
      <c r="T12" s="7" t="s">
        <v>33</v>
      </c>
    </row>
    <row r="13" customHeight="1" spans="1:22">
      <c r="A13" s="7" t="s">
        <v>103</v>
      </c>
      <c r="B13" s="11">
        <v>46174</v>
      </c>
      <c r="C13" s="12" t="str">
        <f>HYPERLINK("https://drive.google.com/drive/folders/1v43ry5EjlMuZpwuUVQfAIqbxWLbWDNBC","https://drive.google.com/drive/folders/1v43ry5EjlMuZpwuUVQfAIqbxWLbWDNBC")</f>
        <v>https://drive.google.com/drive/folders/1v43ry5EjlMuZpwuUVQfAIqbxWLbWDNBC</v>
      </c>
      <c r="D13" s="7" t="s">
        <v>104</v>
      </c>
      <c r="E13" s="7" t="s">
        <v>46</v>
      </c>
      <c r="G13" s="8">
        <v>1</v>
      </c>
      <c r="I13" s="7" t="s">
        <v>105</v>
      </c>
      <c r="J13" s="7" t="s">
        <v>106</v>
      </c>
      <c r="K13" s="7" t="s">
        <v>107</v>
      </c>
      <c r="L13" s="7" t="s">
        <v>83</v>
      </c>
      <c r="M13" s="7" t="s">
        <v>74</v>
      </c>
      <c r="N13" s="7" t="s">
        <v>108</v>
      </c>
      <c r="O13" s="7" t="s">
        <v>31</v>
      </c>
      <c r="P13" s="7">
        <v>12252005256</v>
      </c>
      <c r="Q13" s="7" t="s">
        <v>109</v>
      </c>
      <c r="S13" s="7">
        <v>115386</v>
      </c>
      <c r="T13" s="7" t="s">
        <v>33</v>
      </c>
    </row>
    <row r="14" customHeight="1" spans="1:22">
      <c r="A14" s="7" t="s">
        <v>110</v>
      </c>
      <c r="B14" s="11">
        <v>46174</v>
      </c>
      <c r="C14" s="12" t="str">
        <f>HYPERLINK("https://drive.google.com/drive/folders/1ADlRJeFemEcx6n0W1gkoR9o4kyAkTaXD","https://drive.google.com/drive/folders/1ADlRJeFemEcx6n0W1gkoR9o4kyAkTaXD")</f>
        <v>https://drive.google.com/drive/folders/1ADlRJeFemEcx6n0W1gkoR9o4kyAkTaXD</v>
      </c>
      <c r="D14" s="7" t="s">
        <v>111</v>
      </c>
      <c r="E14" s="7" t="s">
        <v>112</v>
      </c>
      <c r="G14" s="8">
        <v>1</v>
      </c>
      <c r="I14" s="7" t="s">
        <v>113</v>
      </c>
      <c r="J14" s="7" t="s">
        <v>114</v>
      </c>
      <c r="K14" s="7" t="s">
        <v>115</v>
      </c>
      <c r="L14" s="7" t="s">
        <v>116</v>
      </c>
      <c r="M14" s="7" t="s">
        <v>117</v>
      </c>
      <c r="N14" s="7" t="s">
        <v>118</v>
      </c>
      <c r="O14" s="7" t="s">
        <v>31</v>
      </c>
      <c r="P14" s="7">
        <v>13193103620</v>
      </c>
      <c r="Q14" s="7" t="s">
        <v>119</v>
      </c>
      <c r="S14" s="7">
        <v>115396</v>
      </c>
      <c r="T14" s="7" t="s">
        <v>33</v>
      </c>
    </row>
    <row r="15" customHeight="1" spans="1:22">
      <c r="A15" s="7" t="s">
        <v>120</v>
      </c>
      <c r="B15" s="11">
        <v>46174</v>
      </c>
      <c r="C15" s="12" t="str">
        <f>HYPERLINK("https://drive.google.com/drive/folders/1c8kaz5Nfu_zVdFsmZyZ-nilR32ahg3XT?hl=vi","https://drive.google.com/drive/folders/1c8kaz5Nfu_zVdFsmZyZ-nilR32ahg3XT?hl=vi")</f>
        <v>https://drive.google.com/drive/folders/1c8kaz5Nfu_zVdFsmZyZ-nilR32ahg3XT?hl=vi</v>
      </c>
      <c r="D15" s="7" t="s">
        <v>121</v>
      </c>
      <c r="E15" s="7" t="s">
        <v>24</v>
      </c>
      <c r="G15" s="8">
        <v>1</v>
      </c>
      <c r="I15" s="7" t="s">
        <v>122</v>
      </c>
      <c r="J15" s="7" t="s">
        <v>123</v>
      </c>
      <c r="K15" s="7" t="s">
        <v>124</v>
      </c>
      <c r="L15" s="7" t="s">
        <v>125</v>
      </c>
      <c r="M15" s="7" t="s">
        <v>126</v>
      </c>
      <c r="N15" s="7" t="s">
        <v>127</v>
      </c>
      <c r="O15" s="7" t="s">
        <v>31</v>
      </c>
      <c r="P15" s="7">
        <v>17015271642</v>
      </c>
      <c r="Q15" s="7" t="s">
        <v>128</v>
      </c>
      <c r="S15" s="7">
        <v>115401</v>
      </c>
      <c r="T15" s="7" t="s">
        <v>33</v>
      </c>
    </row>
    <row r="16" customHeight="1" spans="1:22">
      <c r="A16" s="7" t="s">
        <v>129</v>
      </c>
      <c r="B16" s="11">
        <v>46174</v>
      </c>
      <c r="C16" s="12" t="str">
        <f>HYPERLINK("https://drive.google.com/drive/folders/1c8kaz5Nfu_zVdFsmZyZ-nilR32ahg3XT?hl=vi","https://drive.google.com/drive/folders/1c8kaz5Nfu_zVdFsmZyZ-nilR32ahg3XT?hl=vi")</f>
        <v>https://drive.google.com/drive/folders/1c8kaz5Nfu_zVdFsmZyZ-nilR32ahg3XT?hl=vi</v>
      </c>
      <c r="D16" s="7" t="s">
        <v>130</v>
      </c>
      <c r="E16" s="7" t="s">
        <v>131</v>
      </c>
      <c r="G16" s="8">
        <v>1</v>
      </c>
      <c r="I16" s="7" t="s">
        <v>132</v>
      </c>
      <c r="J16" s="7" t="s">
        <v>133</v>
      </c>
      <c r="K16" s="7" t="s">
        <v>134</v>
      </c>
      <c r="L16" s="7" t="s">
        <v>135</v>
      </c>
      <c r="M16" s="7" t="s">
        <v>64</v>
      </c>
      <c r="N16" s="7" t="s">
        <v>136</v>
      </c>
      <c r="O16" s="7" t="s">
        <v>31</v>
      </c>
      <c r="P16" s="7">
        <v>15628810158</v>
      </c>
      <c r="Q16" s="7" t="s">
        <v>137</v>
      </c>
      <c r="S16" s="7">
        <v>115413</v>
      </c>
      <c r="T16" s="7" t="s">
        <v>33</v>
      </c>
    </row>
    <row r="17" customHeight="1" spans="1:20">
      <c r="A17" s="7" t="s">
        <v>138</v>
      </c>
      <c r="B17" s="11">
        <v>46174</v>
      </c>
      <c r="C17" s="12" t="str">
        <f>HYPERLINK("https://drive.google.com/drive/folders/1skvU9Pg32OK_g3P0kNG7eFGEZVAMsT9q","https://drive.google.com/drive/folders/1skvU9Pg32OK_g3P0kNG7eFGEZVAMsT9q")</f>
        <v>https://drive.google.com/drive/folders/1skvU9Pg32OK_g3P0kNG7eFGEZVAMsT9q</v>
      </c>
      <c r="D17" s="7" t="s">
        <v>139</v>
      </c>
      <c r="E17" s="7" t="s">
        <v>46</v>
      </c>
      <c r="G17" s="8">
        <v>1</v>
      </c>
      <c r="I17" s="7" t="s">
        <v>140</v>
      </c>
      <c r="J17" s="7" t="s">
        <v>141</v>
      </c>
      <c r="K17" s="7" t="s">
        <v>142</v>
      </c>
      <c r="L17" s="7" t="s">
        <v>143</v>
      </c>
      <c r="M17" s="7" t="s">
        <v>144</v>
      </c>
      <c r="N17" s="7" t="s">
        <v>145</v>
      </c>
      <c r="O17" s="7" t="s">
        <v>31</v>
      </c>
      <c r="P17" s="7">
        <v>19143252107</v>
      </c>
      <c r="Q17" s="7" t="s">
        <v>146</v>
      </c>
      <c r="S17" s="7">
        <v>115417</v>
      </c>
      <c r="T17" s="7" t="s">
        <v>33</v>
      </c>
    </row>
    <row r="18" customHeight="1" spans="1:20">
      <c r="A18" s="7" t="s">
        <v>147</v>
      </c>
      <c r="B18" s="11">
        <v>46174</v>
      </c>
      <c r="C18" s="12" t="str">
        <f>HYPERLINK("https://drive.google.com/drive/folders/1PrKWoeXVApF1tzb7QoHgX5Q6Uyda9Yya","https://drive.google.com/drive/folders/1PrKWoeXVApF1tzb7QoHgX5Q6Uyda9Yya")</f>
        <v>https://drive.google.com/drive/folders/1PrKWoeXVApF1tzb7QoHgX5Q6Uyda9Yya</v>
      </c>
      <c r="D18" s="7" t="s">
        <v>148</v>
      </c>
      <c r="E18" s="7" t="s">
        <v>149</v>
      </c>
      <c r="G18" s="8">
        <v>1</v>
      </c>
      <c r="I18" s="7" t="s">
        <v>150</v>
      </c>
      <c r="J18" s="7" t="s">
        <v>151</v>
      </c>
      <c r="K18" s="7" t="s">
        <v>152</v>
      </c>
      <c r="L18" s="7" t="s">
        <v>153</v>
      </c>
      <c r="M18" s="7" t="s">
        <v>154</v>
      </c>
      <c r="N18" s="7" t="s">
        <v>155</v>
      </c>
      <c r="O18" s="7" t="s">
        <v>31</v>
      </c>
      <c r="P18" s="7">
        <v>19079953037</v>
      </c>
      <c r="Q18" s="7" t="s">
        <v>156</v>
      </c>
      <c r="S18" s="7">
        <v>49876</v>
      </c>
      <c r="T18" s="7" t="s">
        <v>33</v>
      </c>
    </row>
    <row r="19" customHeight="1" spans="1:20">
      <c r="A19" s="7" t="s">
        <v>157</v>
      </c>
      <c r="B19" s="11">
        <v>46174</v>
      </c>
      <c r="C19" s="12" t="str">
        <f>HYPERLINK("https://drive.google.com/drive/folders/1oaeaJojwIwEBTSff2p51iXM6o2ypmw76?usp=sharing","https://drive.google.com/drive/folders/1oaeaJojwIwEBTSff2p51iXM6o2ypmw76?usp=sharing")</f>
        <v>https://drive.google.com/drive/folders/1oaeaJojwIwEBTSff2p51iXM6o2ypmw76?usp=sharing</v>
      </c>
      <c r="D19" s="7" t="s">
        <v>158</v>
      </c>
      <c r="E19" s="7" t="s">
        <v>159</v>
      </c>
      <c r="G19" s="8">
        <v>1</v>
      </c>
      <c r="I19" s="7" t="s">
        <v>160</v>
      </c>
      <c r="J19" s="7" t="s">
        <v>161</v>
      </c>
      <c r="K19" s="7" t="s">
        <v>162</v>
      </c>
      <c r="L19" s="7" t="s">
        <v>163</v>
      </c>
      <c r="M19" s="7" t="s">
        <v>164</v>
      </c>
      <c r="N19" s="7" t="s">
        <v>165</v>
      </c>
      <c r="O19" s="7" t="s">
        <v>31</v>
      </c>
      <c r="P19" s="7">
        <v>19713205099</v>
      </c>
      <c r="Q19" s="7" t="s">
        <v>166</v>
      </c>
      <c r="S19" s="7">
        <v>49891</v>
      </c>
      <c r="T19" s="7" t="s">
        <v>33</v>
      </c>
    </row>
    <row r="20" customHeight="1" spans="1:20">
      <c r="A20" s="7" t="s">
        <v>157</v>
      </c>
      <c r="B20" s="11">
        <v>46174</v>
      </c>
      <c r="C20" s="12" t="str">
        <f>HYPERLINK("https://drive.google.com/drive/folders/1EKBOgmDV-O2XNTn-Q_rCMsoXFajjJPzU?usp=sharing","https://drive.google.com/drive/folders/1EKBOgmDV-O2XNTn-Q_rCMsoXFajjJPzU?usp=sharing")</f>
        <v>https://drive.google.com/drive/folders/1EKBOgmDV-O2XNTn-Q_rCMsoXFajjJPzU?usp=sharing</v>
      </c>
      <c r="D20" s="7" t="s">
        <v>167</v>
      </c>
      <c r="E20" s="7" t="s">
        <v>168</v>
      </c>
      <c r="G20" s="8">
        <v>1</v>
      </c>
      <c r="I20" s="7" t="s">
        <v>160</v>
      </c>
      <c r="J20" s="7" t="s">
        <v>161</v>
      </c>
      <c r="K20" s="7" t="s">
        <v>162</v>
      </c>
      <c r="L20" s="7" t="s">
        <v>163</v>
      </c>
      <c r="M20" s="7" t="s">
        <v>164</v>
      </c>
      <c r="N20" s="7" t="s">
        <v>165</v>
      </c>
      <c r="O20" s="7" t="s">
        <v>31</v>
      </c>
      <c r="P20" s="7">
        <v>19713205099</v>
      </c>
      <c r="Q20" s="7" t="s">
        <v>166</v>
      </c>
      <c r="S20" s="7">
        <v>49892</v>
      </c>
      <c r="T20" s="7" t="s">
        <v>33</v>
      </c>
    </row>
    <row r="21" customHeight="1" spans="1:20">
      <c r="A21" s="7" t="s">
        <v>169</v>
      </c>
      <c r="B21" s="11">
        <v>46174</v>
      </c>
      <c r="C21" s="12" t="str">
        <f>HYPERLINK("https://drive.google.com/drive/folders/1EKBOgmDV-O2XNTn-Q_rCMsoXFajjJPzU?usp=sharing","https://drive.google.com/drive/folders/1EKBOgmDV-O2XNTn-Q_rCMsoXFajjJPzU?usp=sharing")</f>
        <v>https://drive.google.com/drive/folders/1EKBOgmDV-O2XNTn-Q_rCMsoXFajjJPzU?usp=sharing</v>
      </c>
      <c r="D21" s="7" t="s">
        <v>170</v>
      </c>
      <c r="E21" s="7" t="s">
        <v>171</v>
      </c>
      <c r="G21" s="8">
        <v>1</v>
      </c>
      <c r="I21" s="7" t="s">
        <v>172</v>
      </c>
      <c r="J21" s="7" t="s">
        <v>173</v>
      </c>
      <c r="K21" s="7" t="s">
        <v>174</v>
      </c>
      <c r="L21" s="7" t="s">
        <v>175</v>
      </c>
      <c r="M21" s="7" t="s">
        <v>176</v>
      </c>
      <c r="N21" s="7" t="s">
        <v>177</v>
      </c>
      <c r="O21" s="7" t="s">
        <v>31</v>
      </c>
      <c r="P21" s="7">
        <v>18162107841</v>
      </c>
      <c r="Q21" s="7" t="s">
        <v>178</v>
      </c>
      <c r="S21" s="7">
        <v>49902</v>
      </c>
      <c r="T21" s="7" t="s">
        <v>33</v>
      </c>
    </row>
    <row r="22" customHeight="1" spans="1:20">
      <c r="A22" s="7" t="s">
        <v>179</v>
      </c>
      <c r="B22" s="11">
        <v>46174</v>
      </c>
      <c r="C22" s="12" t="str">
        <f>HYPERLINK("https://drive.google.com/drive/folders/1S4LbiDmGlN0uJwm8uOvuMBx1HZB8kC8l?usp=drive_link","https://drive.google.com/drive/folders/1S4LbiDmGlN0uJwm8uOvuMBx1HZB8kC8l?usp=drive_link")</f>
        <v>https://drive.google.com/drive/folders/1S4LbiDmGlN0uJwm8uOvuMBx1HZB8kC8l?usp=drive_link</v>
      </c>
      <c r="D22" s="7" t="s">
        <v>180</v>
      </c>
      <c r="E22" s="7" t="s">
        <v>181</v>
      </c>
      <c r="G22" s="8">
        <v>1</v>
      </c>
      <c r="I22" s="7" t="s">
        <v>182</v>
      </c>
      <c r="J22" s="7" t="s">
        <v>183</v>
      </c>
      <c r="K22" s="7" t="s">
        <v>184</v>
      </c>
      <c r="L22" s="7" t="s">
        <v>185</v>
      </c>
      <c r="M22" s="7" t="s">
        <v>186</v>
      </c>
      <c r="N22" s="7" t="s">
        <v>187</v>
      </c>
      <c r="O22" s="7" t="s">
        <v>31</v>
      </c>
      <c r="P22" s="7">
        <v>16155684742</v>
      </c>
      <c r="Q22" s="7" t="s">
        <v>188</v>
      </c>
      <c r="S22" s="7">
        <v>49913</v>
      </c>
      <c r="T22" s="7" t="s">
        <v>33</v>
      </c>
    </row>
    <row r="23" customHeight="1" spans="1:20">
      <c r="A23" s="7" t="s">
        <v>189</v>
      </c>
      <c r="B23" s="11">
        <v>46174</v>
      </c>
      <c r="C23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23" s="7" t="s">
        <v>190</v>
      </c>
      <c r="E23" s="7" t="s">
        <v>168</v>
      </c>
      <c r="G23" s="8">
        <v>1</v>
      </c>
      <c r="I23" s="7" t="s">
        <v>191</v>
      </c>
      <c r="J23" s="7" t="s">
        <v>192</v>
      </c>
      <c r="K23" s="7" t="s">
        <v>193</v>
      </c>
      <c r="L23" s="7" t="s">
        <v>194</v>
      </c>
      <c r="M23" s="7" t="s">
        <v>195</v>
      </c>
      <c r="N23" s="7" t="s">
        <v>196</v>
      </c>
      <c r="O23" s="7" t="s">
        <v>31</v>
      </c>
      <c r="P23" s="7">
        <v>17023340164</v>
      </c>
      <c r="Q23" s="7" t="s">
        <v>197</v>
      </c>
      <c r="S23" s="7">
        <v>49909</v>
      </c>
      <c r="T23" s="7" t="s">
        <v>33</v>
      </c>
    </row>
    <row r="24" customHeight="1" spans="1:20">
      <c r="A24" s="7" t="s">
        <v>189</v>
      </c>
      <c r="B24" s="11">
        <v>46174</v>
      </c>
      <c r="C24" s="12" t="str">
        <f>HYPERLINK("https://drive.google.com/drive/folders/1_7v4xBB7jfq8UrY8Sj68hGmnaIFzgbi8?usp=sharing","https://drive.google.com/drive/folders/1_7v4xBB7jfq8UrY8Sj68hGmnaIFzgbi8?usp=sharing")</f>
        <v>https://drive.google.com/drive/folders/1_7v4xBB7jfq8UrY8Sj68hGmnaIFzgbi8?usp=sharing</v>
      </c>
      <c r="D24" s="7" t="s">
        <v>198</v>
      </c>
      <c r="E24" s="7" t="s">
        <v>168</v>
      </c>
      <c r="G24" s="8">
        <v>1</v>
      </c>
      <c r="I24" s="7" t="s">
        <v>191</v>
      </c>
      <c r="J24" s="7" t="s">
        <v>192</v>
      </c>
      <c r="K24" s="7" t="s">
        <v>193</v>
      </c>
      <c r="L24" s="7" t="s">
        <v>194</v>
      </c>
      <c r="M24" s="7" t="s">
        <v>195</v>
      </c>
      <c r="N24" s="7" t="s">
        <v>196</v>
      </c>
      <c r="O24" s="7" t="s">
        <v>31</v>
      </c>
      <c r="P24" s="7">
        <v>17023340164</v>
      </c>
      <c r="Q24" s="7" t="s">
        <v>197</v>
      </c>
      <c r="S24" s="7">
        <v>49910</v>
      </c>
      <c r="T24" s="7" t="s">
        <v>33</v>
      </c>
    </row>
    <row r="25" customHeight="1" spans="1:20">
      <c r="A25" s="7" t="s">
        <v>199</v>
      </c>
      <c r="B25" s="11">
        <v>46174</v>
      </c>
      <c r="C25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25" s="7" t="s">
        <v>200</v>
      </c>
      <c r="E25" s="7" t="s">
        <v>168</v>
      </c>
      <c r="G25" s="8">
        <v>1</v>
      </c>
      <c r="I25" s="7" t="s">
        <v>201</v>
      </c>
      <c r="J25" s="7" t="s">
        <v>192</v>
      </c>
      <c r="K25" s="7" t="s">
        <v>193</v>
      </c>
      <c r="L25" s="7" t="s">
        <v>194</v>
      </c>
      <c r="M25" s="7" t="s">
        <v>195</v>
      </c>
      <c r="N25" s="7" t="s">
        <v>196</v>
      </c>
      <c r="O25" s="7" t="s">
        <v>31</v>
      </c>
      <c r="P25" s="7">
        <v>17023340164</v>
      </c>
      <c r="Q25" s="7" t="s">
        <v>197</v>
      </c>
      <c r="S25" s="7">
        <v>49909</v>
      </c>
      <c r="T25" s="7" t="s">
        <v>33</v>
      </c>
    </row>
    <row r="26" customHeight="1" spans="1:20">
      <c r="A26" s="7" t="s">
        <v>199</v>
      </c>
      <c r="B26" s="11">
        <v>46174</v>
      </c>
      <c r="C26" s="12" t="str">
        <f>HYPERLINK("https://drive.google.com/drive/folders/1_7v4xBB7jfq8UrY8Sj68hGmnaIFzgbi8?usp=sharing","https://drive.google.com/drive/folders/1_7v4xBB7jfq8UrY8Sj68hGmnaIFzgbi8?usp=sharing")</f>
        <v>https://drive.google.com/drive/folders/1_7v4xBB7jfq8UrY8Sj68hGmnaIFzgbi8?usp=sharing</v>
      </c>
      <c r="D26" s="7" t="s">
        <v>202</v>
      </c>
      <c r="E26" s="7" t="s">
        <v>168</v>
      </c>
      <c r="G26" s="8">
        <v>1</v>
      </c>
      <c r="I26" s="7" t="s">
        <v>201</v>
      </c>
      <c r="J26" s="7" t="s">
        <v>192</v>
      </c>
      <c r="K26" s="7" t="s">
        <v>193</v>
      </c>
      <c r="L26" s="7" t="s">
        <v>194</v>
      </c>
      <c r="M26" s="7" t="s">
        <v>195</v>
      </c>
      <c r="N26" s="7" t="s">
        <v>196</v>
      </c>
      <c r="O26" s="7" t="s">
        <v>31</v>
      </c>
      <c r="P26" s="7">
        <v>17023340164</v>
      </c>
      <c r="Q26" s="7" t="s">
        <v>197</v>
      </c>
      <c r="S26" s="7">
        <v>49910</v>
      </c>
      <c r="T26" s="7" t="s">
        <v>33</v>
      </c>
    </row>
    <row r="27" customHeight="1" spans="1:20">
      <c r="A27" s="7" t="s">
        <v>203</v>
      </c>
      <c r="B27" s="11">
        <v>46174</v>
      </c>
      <c r="C27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27" s="7" t="s">
        <v>204</v>
      </c>
      <c r="E27" s="7" t="s">
        <v>168</v>
      </c>
      <c r="G27" s="8">
        <v>1</v>
      </c>
      <c r="I27" s="7" t="s">
        <v>205</v>
      </c>
      <c r="J27" s="7" t="s">
        <v>206</v>
      </c>
      <c r="K27" s="7" t="s">
        <v>207</v>
      </c>
      <c r="L27" s="7" t="s">
        <v>194</v>
      </c>
      <c r="M27" s="7" t="s">
        <v>195</v>
      </c>
      <c r="N27" s="7" t="s">
        <v>208</v>
      </c>
      <c r="O27" s="7" t="s">
        <v>31</v>
      </c>
      <c r="P27" s="7">
        <v>17027381266</v>
      </c>
      <c r="Q27" s="7" t="s">
        <v>209</v>
      </c>
      <c r="S27" s="7">
        <v>49918</v>
      </c>
      <c r="T27" s="7" t="s">
        <v>33</v>
      </c>
    </row>
    <row r="28" customHeight="1" spans="1:20">
      <c r="A28" s="7" t="s">
        <v>210</v>
      </c>
      <c r="B28" s="11">
        <v>46174</v>
      </c>
      <c r="C28" s="12" t="str">
        <f>HYPERLINK("https://drive.google.com/drive/folders/1oaeaJojwIwEBTSff2p51iXM6o2ypmw76?usp=sharing","https://drive.google.com/drive/folders/1oaeaJojwIwEBTSff2p51iXM6o2ypmw76?usp=sharing")</f>
        <v>https://drive.google.com/drive/folders/1oaeaJojwIwEBTSff2p51iXM6o2ypmw76?usp=sharing</v>
      </c>
      <c r="D28" s="7" t="s">
        <v>211</v>
      </c>
      <c r="E28" s="7" t="s">
        <v>212</v>
      </c>
      <c r="G28" s="8">
        <v>1</v>
      </c>
      <c r="I28" s="7" t="s">
        <v>213</v>
      </c>
      <c r="J28" s="7" t="s">
        <v>214</v>
      </c>
      <c r="K28" s="7" t="s">
        <v>215</v>
      </c>
      <c r="L28" s="7" t="s">
        <v>216</v>
      </c>
      <c r="M28" s="7" t="s">
        <v>217</v>
      </c>
      <c r="N28" s="7" t="s">
        <v>218</v>
      </c>
      <c r="O28" s="7" t="s">
        <v>31</v>
      </c>
      <c r="P28" s="7">
        <v>16059647358</v>
      </c>
      <c r="Q28" s="7" t="s">
        <v>219</v>
      </c>
      <c r="S28" s="7">
        <v>49932</v>
      </c>
      <c r="T28" s="7" t="s">
        <v>33</v>
      </c>
    </row>
    <row r="29" customHeight="1" spans="1:20">
      <c r="A29" s="7" t="s">
        <v>220</v>
      </c>
      <c r="B29" s="11">
        <v>46174</v>
      </c>
      <c r="C29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29" s="7" t="s">
        <v>221</v>
      </c>
      <c r="E29" s="7" t="s">
        <v>168</v>
      </c>
      <c r="G29" s="13">
        <v>2</v>
      </c>
      <c r="I29" s="7" t="s">
        <v>222</v>
      </c>
      <c r="J29" s="7" t="s">
        <v>223</v>
      </c>
      <c r="K29" s="7" t="s">
        <v>224</v>
      </c>
      <c r="L29" s="7" t="s">
        <v>225</v>
      </c>
      <c r="M29" s="7" t="s">
        <v>226</v>
      </c>
      <c r="N29" s="7" t="s">
        <v>227</v>
      </c>
      <c r="O29" s="7" t="s">
        <v>31</v>
      </c>
      <c r="P29" s="7">
        <v>15202795938</v>
      </c>
      <c r="Q29" s="7" t="s">
        <v>228</v>
      </c>
      <c r="S29" s="7">
        <v>49940</v>
      </c>
      <c r="T29" s="7" t="s">
        <v>33</v>
      </c>
    </row>
    <row r="30" customHeight="1" spans="1:20">
      <c r="A30" s="7" t="s">
        <v>229</v>
      </c>
      <c r="B30" s="11">
        <v>46174</v>
      </c>
      <c r="C30" s="12" t="str">
        <f>HYPERLINK("https://drive.google.com/drive/folders/1oaeaJojwIwEBTSff2p51iXM6o2ypmw76?usp=sharing","https://drive.google.com/drive/folders/1oaeaJojwIwEBTSff2p51iXM6o2ypmw76?usp=sharing")</f>
        <v>https://drive.google.com/drive/folders/1oaeaJojwIwEBTSff2p51iXM6o2ypmw76?usp=sharing</v>
      </c>
      <c r="D30" s="7" t="s">
        <v>230</v>
      </c>
      <c r="E30" s="7" t="s">
        <v>168</v>
      </c>
      <c r="G30" s="8">
        <v>1</v>
      </c>
      <c r="I30" s="7" t="s">
        <v>231</v>
      </c>
      <c r="J30" s="7" t="s">
        <v>232</v>
      </c>
      <c r="K30" s="7" t="s">
        <v>233</v>
      </c>
      <c r="L30" s="7" t="s">
        <v>234</v>
      </c>
      <c r="M30" s="7" t="s">
        <v>64</v>
      </c>
      <c r="N30" s="7" t="s">
        <v>235</v>
      </c>
      <c r="O30" s="7" t="s">
        <v>31</v>
      </c>
      <c r="P30" s="7">
        <v>16196166916</v>
      </c>
      <c r="Q30" s="7" t="s">
        <v>236</v>
      </c>
      <c r="S30" s="7">
        <v>49942</v>
      </c>
      <c r="T30" s="7" t="s">
        <v>33</v>
      </c>
    </row>
    <row r="31" customHeight="1" spans="1:20">
      <c r="A31" s="7" t="s">
        <v>237</v>
      </c>
      <c r="B31" s="11">
        <v>46174</v>
      </c>
      <c r="C31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31" s="7" t="s">
        <v>238</v>
      </c>
      <c r="E31" s="7" t="s">
        <v>239</v>
      </c>
      <c r="G31" s="8">
        <v>1</v>
      </c>
      <c r="I31" s="7" t="s">
        <v>240</v>
      </c>
      <c r="J31" s="7" t="s">
        <v>241</v>
      </c>
      <c r="K31" s="7" t="s">
        <v>242</v>
      </c>
      <c r="L31" s="7" t="s">
        <v>243</v>
      </c>
      <c r="M31" s="7" t="s">
        <v>154</v>
      </c>
      <c r="N31" s="7" t="s">
        <v>244</v>
      </c>
      <c r="O31" s="7" t="s">
        <v>31</v>
      </c>
      <c r="P31" s="7">
        <v>19074144043</v>
      </c>
      <c r="Q31" s="7" t="s">
        <v>245</v>
      </c>
      <c r="S31" s="7">
        <v>49944</v>
      </c>
      <c r="T31" s="7" t="s">
        <v>33</v>
      </c>
    </row>
    <row r="32" customHeight="1" spans="1:20">
      <c r="A32" s="7" t="s">
        <v>246</v>
      </c>
      <c r="B32" s="11">
        <v>46174</v>
      </c>
      <c r="C32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32" s="7" t="s">
        <v>247</v>
      </c>
      <c r="E32" s="7" t="s">
        <v>168</v>
      </c>
      <c r="G32" s="8">
        <v>1</v>
      </c>
      <c r="I32" s="7" t="s">
        <v>248</v>
      </c>
      <c r="J32" s="7" t="s">
        <v>249</v>
      </c>
      <c r="K32" s="7" t="s">
        <v>250</v>
      </c>
      <c r="L32" s="7" t="s">
        <v>251</v>
      </c>
      <c r="M32" s="7" t="s">
        <v>64</v>
      </c>
      <c r="N32" s="7" t="s">
        <v>252</v>
      </c>
      <c r="O32" s="7" t="s">
        <v>31</v>
      </c>
      <c r="P32" s="7">
        <v>15303073148</v>
      </c>
      <c r="Q32" s="7" t="s">
        <v>253</v>
      </c>
      <c r="S32" s="7">
        <v>49946</v>
      </c>
      <c r="T32" s="7" t="s">
        <v>33</v>
      </c>
    </row>
    <row r="33" customHeight="1" spans="1:20">
      <c r="A33" s="7" t="s">
        <v>254</v>
      </c>
      <c r="B33" s="11">
        <v>46174</v>
      </c>
      <c r="C33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33" s="7" t="s">
        <v>255</v>
      </c>
      <c r="E33" s="7" t="s">
        <v>239</v>
      </c>
      <c r="G33" s="8">
        <v>1</v>
      </c>
      <c r="I33" s="7" t="s">
        <v>256</v>
      </c>
      <c r="J33" s="7" t="s">
        <v>257</v>
      </c>
      <c r="K33" s="7" t="s">
        <v>258</v>
      </c>
      <c r="L33" s="7" t="s">
        <v>259</v>
      </c>
      <c r="M33" s="7" t="s">
        <v>260</v>
      </c>
      <c r="N33" s="7" t="s">
        <v>261</v>
      </c>
      <c r="O33" s="7" t="s">
        <v>31</v>
      </c>
      <c r="P33" s="7">
        <v>18082236852</v>
      </c>
      <c r="Q33" s="7" t="s">
        <v>262</v>
      </c>
      <c r="S33" s="7">
        <v>49949</v>
      </c>
      <c r="T33" s="7" t="s">
        <v>33</v>
      </c>
    </row>
    <row r="34" customHeight="1" spans="1:20">
      <c r="A34" s="7" t="s">
        <v>263</v>
      </c>
      <c r="B34" s="11">
        <v>46174</v>
      </c>
      <c r="C34" s="12" t="str">
        <f>HYPERLINK("https://drive.google.com/drive/folders/1X-4kIZDYSYAGJtmRQYejRDkfiV1IUxRo?usp=sharing","https://drive.google.com/drive/folders/1X-4kIZDYSYAGJtmRQYejRDkfiV1IUxRo?usp=sharing")</f>
        <v>https://drive.google.com/drive/folders/1X-4kIZDYSYAGJtmRQYejRDkfiV1IUxRo?usp=sharing</v>
      </c>
      <c r="D34" s="7" t="s">
        <v>264</v>
      </c>
      <c r="E34" s="7" t="s">
        <v>212</v>
      </c>
      <c r="G34" s="8">
        <v>1</v>
      </c>
      <c r="I34" s="7" t="s">
        <v>265</v>
      </c>
      <c r="J34" s="7" t="s">
        <v>266</v>
      </c>
      <c r="K34" s="7" t="s">
        <v>267</v>
      </c>
      <c r="L34" s="7" t="s">
        <v>268</v>
      </c>
      <c r="M34" s="7" t="s">
        <v>269</v>
      </c>
      <c r="N34" s="7" t="s">
        <v>270</v>
      </c>
      <c r="O34" s="7" t="s">
        <v>31</v>
      </c>
      <c r="P34" s="7">
        <v>15057263571</v>
      </c>
      <c r="Q34" s="7" t="s">
        <v>271</v>
      </c>
      <c r="S34" s="7">
        <v>49951</v>
      </c>
      <c r="T34" s="7" t="s">
        <v>33</v>
      </c>
    </row>
    <row r="35" customHeight="1" spans="1:20">
      <c r="A35" s="7" t="s">
        <v>272</v>
      </c>
      <c r="B35" s="11">
        <v>46174</v>
      </c>
      <c r="C35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35" s="7" t="s">
        <v>273</v>
      </c>
      <c r="E35" s="7" t="s">
        <v>239</v>
      </c>
      <c r="G35" s="8">
        <v>1</v>
      </c>
      <c r="I35" s="7" t="s">
        <v>274</v>
      </c>
      <c r="J35" s="7" t="s">
        <v>275</v>
      </c>
      <c r="K35" s="7" t="s">
        <v>276</v>
      </c>
      <c r="L35" s="7" t="s">
        <v>194</v>
      </c>
      <c r="M35" s="7" t="s">
        <v>195</v>
      </c>
      <c r="N35" s="7" t="s">
        <v>277</v>
      </c>
      <c r="O35" s="7" t="s">
        <v>31</v>
      </c>
      <c r="P35" s="7">
        <v>17028398441</v>
      </c>
      <c r="Q35" s="7" t="s">
        <v>278</v>
      </c>
      <c r="S35" s="7">
        <v>49957</v>
      </c>
      <c r="T35" s="7" t="s">
        <v>33</v>
      </c>
    </row>
    <row r="36" customHeight="1" spans="1:20">
      <c r="A36" s="7" t="s">
        <v>279</v>
      </c>
      <c r="B36" s="11">
        <v>46174</v>
      </c>
      <c r="C36" s="12" t="str">
        <f>HYPERLINK("https://drive.google.com/drive/folders/1DKt6bIzDWfuA8TOmr3xJ4W-QmM3HohTI?usp=sharing","https://drive.google.com/drive/folders/1DKt6bIzDWfuA8TOmr3xJ4W-QmM3HohTI?usp=sharing")</f>
        <v>https://drive.google.com/drive/folders/1DKt6bIzDWfuA8TOmr3xJ4W-QmM3HohTI?usp=sharing</v>
      </c>
      <c r="D36" s="7" t="s">
        <v>280</v>
      </c>
      <c r="E36" s="7" t="s">
        <v>24</v>
      </c>
      <c r="G36" s="8">
        <v>1</v>
      </c>
      <c r="H36" s="7" t="s">
        <v>281</v>
      </c>
      <c r="I36" s="7" t="s">
        <v>282</v>
      </c>
      <c r="J36" s="7" t="s">
        <v>283</v>
      </c>
      <c r="K36" s="7" t="s">
        <v>284</v>
      </c>
      <c r="L36" s="7" t="s">
        <v>285</v>
      </c>
      <c r="M36" s="7" t="s">
        <v>286</v>
      </c>
      <c r="N36" s="7" t="s">
        <v>287</v>
      </c>
      <c r="O36" s="7" t="s">
        <v>31</v>
      </c>
      <c r="P36" s="7">
        <v>19893064310</v>
      </c>
      <c r="Q36" s="7" t="s">
        <v>288</v>
      </c>
      <c r="S36" s="7">
        <v>49963</v>
      </c>
      <c r="T36" s="7" t="s">
        <v>33</v>
      </c>
    </row>
    <row r="37" customHeight="1" spans="1:20">
      <c r="A37" s="7" t="s">
        <v>289</v>
      </c>
      <c r="B37" s="11">
        <v>46174</v>
      </c>
      <c r="C37" s="12" t="str">
        <f>HYPERLINK("https://drive.google.com/drive/folders/1xEk5MfEHrt02Tzbyg0Ih8CqnUO71rJft?usp=sharing","https://drive.google.com/drive/folders/1xEk5MfEHrt02Tzbyg0Ih8CqnUO71rJft?usp=sharing")</f>
        <v>https://drive.google.com/drive/folders/1xEk5MfEHrt02Tzbyg0Ih8CqnUO71rJft?usp=sharing</v>
      </c>
      <c r="D37" s="7" t="s">
        <v>290</v>
      </c>
      <c r="E37" s="7" t="s">
        <v>171</v>
      </c>
      <c r="G37" s="8">
        <v>1</v>
      </c>
      <c r="H37" s="7" t="s">
        <v>291</v>
      </c>
      <c r="I37" s="7" t="s">
        <v>292</v>
      </c>
      <c r="J37" s="7" t="s">
        <v>293</v>
      </c>
      <c r="K37" s="7" t="s">
        <v>294</v>
      </c>
      <c r="L37" s="7" t="s">
        <v>295</v>
      </c>
      <c r="M37" s="7" t="s">
        <v>74</v>
      </c>
      <c r="N37" s="7" t="s">
        <v>296</v>
      </c>
      <c r="O37" s="7" t="s">
        <v>31</v>
      </c>
      <c r="P37" s="7">
        <v>19407830437</v>
      </c>
      <c r="Q37" s="7" t="s">
        <v>297</v>
      </c>
      <c r="S37" s="7">
        <v>49966</v>
      </c>
      <c r="T37" s="7" t="s">
        <v>33</v>
      </c>
    </row>
    <row r="38" customHeight="1" spans="1:20">
      <c r="A38" s="7" t="s">
        <v>298</v>
      </c>
      <c r="B38" s="11">
        <v>46174</v>
      </c>
      <c r="C38" s="12" t="str">
        <f>HYPERLINK("https://drive.google.com/drive/folders/1P5Y2fyu9UsWTS5u-j6esCb3fQ0HMAXBt?usp=drive_link","https://drive.google.com/drive/folders/1P5Y2fyu9UsWTS5u-j6esCb3fQ0HMAXBt?usp=drive_link")</f>
        <v>https://drive.google.com/drive/folders/1P5Y2fyu9UsWTS5u-j6esCb3fQ0HMAXBt?usp=drive_link</v>
      </c>
      <c r="D38" s="7" t="s">
        <v>299</v>
      </c>
      <c r="E38" s="7" t="s">
        <v>181</v>
      </c>
      <c r="G38" s="8">
        <v>1</v>
      </c>
      <c r="I38" s="7" t="s">
        <v>300</v>
      </c>
      <c r="J38" s="7" t="s">
        <v>301</v>
      </c>
      <c r="K38" s="7" t="s">
        <v>302</v>
      </c>
      <c r="L38" s="7" t="s">
        <v>303</v>
      </c>
      <c r="M38" s="7" t="s">
        <v>226</v>
      </c>
      <c r="N38" s="7" t="s">
        <v>304</v>
      </c>
      <c r="O38" s="7" t="s">
        <v>31</v>
      </c>
      <c r="P38" s="7">
        <v>16025739879</v>
      </c>
      <c r="Q38" s="7" t="s">
        <v>305</v>
      </c>
      <c r="S38" s="7">
        <v>49969</v>
      </c>
      <c r="T38" s="7" t="s">
        <v>33</v>
      </c>
    </row>
    <row r="39" customHeight="1" spans="1:20">
      <c r="A39" s="7" t="s">
        <v>306</v>
      </c>
      <c r="B39" s="11">
        <v>46174</v>
      </c>
      <c r="C39" s="12" t="str">
        <f>HYPERLINK("https://drive.google.com/drive/folders/1oaeaJojwIwEBTSff2p51iXM6o2ypmw76?usp=sharing","https://drive.google.com/drive/folders/1oaeaJojwIwEBTSff2p51iXM6o2ypmw76?usp=sharing")</f>
        <v>https://drive.google.com/drive/folders/1oaeaJojwIwEBTSff2p51iXM6o2ypmw76?usp=sharing</v>
      </c>
      <c r="D39" s="7" t="s">
        <v>307</v>
      </c>
      <c r="E39" s="7" t="s">
        <v>168</v>
      </c>
      <c r="G39" s="8">
        <v>1</v>
      </c>
      <c r="I39" s="7" t="s">
        <v>308</v>
      </c>
      <c r="J39" s="7" t="s">
        <v>309</v>
      </c>
      <c r="K39" s="7" t="s">
        <v>310</v>
      </c>
      <c r="L39" s="7" t="s">
        <v>311</v>
      </c>
      <c r="M39" s="7" t="s">
        <v>195</v>
      </c>
      <c r="N39" s="7" t="s">
        <v>312</v>
      </c>
      <c r="O39" s="7" t="s">
        <v>31</v>
      </c>
      <c r="P39" s="7">
        <v>17025395872</v>
      </c>
      <c r="Q39" s="7" t="s">
        <v>313</v>
      </c>
      <c r="S39" s="7">
        <v>49974</v>
      </c>
      <c r="T39" s="7" t="s">
        <v>33</v>
      </c>
    </row>
    <row r="40" customHeight="1" spans="1:20">
      <c r="A40" s="7" t="s">
        <v>314</v>
      </c>
      <c r="B40" s="11">
        <v>46174</v>
      </c>
      <c r="C40" s="12" t="str">
        <f>HYPERLINK("https://drive.google.com/drive/folders/1ZFJ9qEVbFk75SnGNpX5B5mb7b9rZNRgr?usp=sharing","https://drive.google.com/drive/folders/1ZFJ9qEVbFk75SnGNpX5B5mb7b9rZNRgr?usp=sharing")</f>
        <v>https://drive.google.com/drive/folders/1ZFJ9qEVbFk75SnGNpX5B5mb7b9rZNRgr?usp=sharing</v>
      </c>
      <c r="D40" s="7" t="s">
        <v>315</v>
      </c>
      <c r="E40" s="7" t="s">
        <v>181</v>
      </c>
      <c r="G40" s="8">
        <v>1</v>
      </c>
      <c r="H40" s="7" t="s">
        <v>316</v>
      </c>
      <c r="I40" s="7" t="s">
        <v>317</v>
      </c>
      <c r="J40" s="7" t="s">
        <v>318</v>
      </c>
      <c r="K40" s="7" t="s">
        <v>319</v>
      </c>
      <c r="L40" s="7" t="s">
        <v>320</v>
      </c>
      <c r="M40" s="7" t="s">
        <v>74</v>
      </c>
      <c r="N40" s="7" t="s">
        <v>321</v>
      </c>
      <c r="O40" s="7" t="s">
        <v>31</v>
      </c>
      <c r="P40" s="7">
        <v>14326611881</v>
      </c>
      <c r="Q40" s="7" t="s">
        <v>322</v>
      </c>
      <c r="S40" s="7">
        <v>49980</v>
      </c>
      <c r="T40" s="7" t="s">
        <v>33</v>
      </c>
    </row>
    <row r="41" customHeight="1" spans="1:20">
      <c r="A41" s="7" t="s">
        <v>323</v>
      </c>
      <c r="B41" s="11">
        <v>46174</v>
      </c>
      <c r="C41" s="12" t="str">
        <f>HYPERLINK("https://drive.google.com/drive/folders/1ZkvdLQjtiFWV4aXWAxjDEiC8PYmxXUop?usp=sharing","https://drive.google.com/drive/folders/1ZkvdLQjtiFWV4aXWAxjDEiC8PYmxXUop?usp=sharing")</f>
        <v>https://drive.google.com/drive/folders/1ZkvdLQjtiFWV4aXWAxjDEiC8PYmxXUop?usp=sharing</v>
      </c>
      <c r="D41" s="7" t="s">
        <v>324</v>
      </c>
      <c r="E41" s="7" t="s">
        <v>159</v>
      </c>
      <c r="G41" s="8">
        <v>1</v>
      </c>
      <c r="I41" s="7" t="s">
        <v>325</v>
      </c>
      <c r="J41" s="7" t="s">
        <v>326</v>
      </c>
      <c r="K41" s="7" t="s">
        <v>327</v>
      </c>
      <c r="L41" s="7" t="s">
        <v>328</v>
      </c>
      <c r="M41" s="7" t="s">
        <v>269</v>
      </c>
      <c r="N41" s="7" t="s">
        <v>329</v>
      </c>
      <c r="O41" s="7" t="s">
        <v>31</v>
      </c>
      <c r="P41" s="7">
        <v>15059204972</v>
      </c>
      <c r="Q41" s="7" t="s">
        <v>330</v>
      </c>
      <c r="S41" s="7">
        <v>49983</v>
      </c>
      <c r="T41" s="7" t="s">
        <v>33</v>
      </c>
    </row>
    <row r="42" customHeight="1" spans="1:20">
      <c r="A42" s="7" t="s">
        <v>331</v>
      </c>
      <c r="B42" s="11">
        <v>46174</v>
      </c>
      <c r="C42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42" s="7" t="s">
        <v>332</v>
      </c>
      <c r="E42" s="7" t="s">
        <v>171</v>
      </c>
      <c r="G42" s="8">
        <v>1</v>
      </c>
      <c r="I42" s="7" t="s">
        <v>333</v>
      </c>
      <c r="J42" s="7" t="s">
        <v>334</v>
      </c>
      <c r="K42" s="7" t="s">
        <v>335</v>
      </c>
      <c r="L42" s="7" t="s">
        <v>336</v>
      </c>
      <c r="M42" s="7" t="s">
        <v>337</v>
      </c>
      <c r="N42" s="7" t="s">
        <v>338</v>
      </c>
      <c r="O42" s="7" t="s">
        <v>31</v>
      </c>
      <c r="P42" s="7">
        <v>18128008765</v>
      </c>
      <c r="Q42" s="7" t="s">
        <v>339</v>
      </c>
      <c r="S42" s="7">
        <v>49985</v>
      </c>
      <c r="T42" s="7" t="s">
        <v>33</v>
      </c>
    </row>
    <row r="43" customHeight="1" spans="1:20">
      <c r="A43" s="7" t="s">
        <v>340</v>
      </c>
      <c r="B43" s="11">
        <v>46174</v>
      </c>
      <c r="C43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43" s="7" t="s">
        <v>341</v>
      </c>
      <c r="E43" s="7" t="s">
        <v>239</v>
      </c>
      <c r="G43" s="8">
        <v>1</v>
      </c>
      <c r="I43" s="7" t="s">
        <v>342</v>
      </c>
      <c r="J43" s="7" t="s">
        <v>343</v>
      </c>
      <c r="K43" s="7" t="s">
        <v>344</v>
      </c>
      <c r="L43" s="7" t="s">
        <v>345</v>
      </c>
      <c r="M43" s="7" t="s">
        <v>337</v>
      </c>
      <c r="N43" s="7" t="s">
        <v>346</v>
      </c>
      <c r="O43" s="7" t="s">
        <v>31</v>
      </c>
      <c r="P43" s="7">
        <v>13604313910</v>
      </c>
      <c r="Q43" s="7" t="s">
        <v>347</v>
      </c>
      <c r="S43" s="7">
        <v>49987</v>
      </c>
      <c r="T43" s="7" t="s">
        <v>33</v>
      </c>
    </row>
    <row r="44" customHeight="1" spans="1:20">
      <c r="A44" s="7" t="s">
        <v>348</v>
      </c>
      <c r="B44" s="11">
        <v>46174</v>
      </c>
      <c r="C44" s="12" t="str">
        <f>HYPERLINK("https://drive.google.com/drive/folders/1EiD7QOFucDlq0jKph3wBKHap-bdFJOnZ?usp=sharing","https://drive.google.com/drive/folders/1EiD7QOFucDlq0jKph3wBKHap-bdFJOnZ?usp=sharing")</f>
        <v>https://drive.google.com/drive/folders/1EiD7QOFucDlq0jKph3wBKHap-bdFJOnZ?usp=sharing</v>
      </c>
      <c r="D44" s="7" t="s">
        <v>349</v>
      </c>
      <c r="E44" s="7" t="s">
        <v>350</v>
      </c>
      <c r="G44" s="8">
        <v>1</v>
      </c>
      <c r="I44" s="7" t="s">
        <v>351</v>
      </c>
      <c r="J44" s="7" t="s">
        <v>352</v>
      </c>
      <c r="K44" s="7" t="s">
        <v>353</v>
      </c>
      <c r="L44" s="7" t="s">
        <v>354</v>
      </c>
      <c r="M44" s="7" t="s">
        <v>64</v>
      </c>
      <c r="N44" s="7" t="s">
        <v>355</v>
      </c>
      <c r="O44" s="7" t="s">
        <v>31</v>
      </c>
      <c r="P44" s="7">
        <v>19513756606</v>
      </c>
      <c r="Q44" s="7" t="s">
        <v>356</v>
      </c>
      <c r="S44" s="7">
        <v>49989</v>
      </c>
      <c r="T44" s="7" t="s">
        <v>33</v>
      </c>
    </row>
    <row r="45" customHeight="1" spans="1:20">
      <c r="A45" s="7" t="s">
        <v>357</v>
      </c>
      <c r="B45" s="11">
        <v>46174</v>
      </c>
      <c r="C45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45" s="7" t="s">
        <v>358</v>
      </c>
      <c r="E45" s="7" t="s">
        <v>212</v>
      </c>
      <c r="G45" s="8">
        <v>1</v>
      </c>
      <c r="I45" s="7" t="s">
        <v>359</v>
      </c>
      <c r="J45" s="7" t="s">
        <v>360</v>
      </c>
      <c r="K45" s="7" t="s">
        <v>361</v>
      </c>
      <c r="L45" s="7" t="s">
        <v>362</v>
      </c>
      <c r="M45" s="7" t="s">
        <v>64</v>
      </c>
      <c r="N45" s="7" t="s">
        <v>363</v>
      </c>
      <c r="O45" s="7" t="s">
        <v>31</v>
      </c>
      <c r="P45" s="7">
        <v>13106623233</v>
      </c>
      <c r="Q45" s="7" t="s">
        <v>364</v>
      </c>
      <c r="S45" s="7">
        <v>50001</v>
      </c>
      <c r="T45" s="7" t="s">
        <v>33</v>
      </c>
    </row>
    <row r="46" customHeight="1" spans="1:20">
      <c r="A46" s="7" t="s">
        <v>365</v>
      </c>
      <c r="B46" s="11">
        <v>46174</v>
      </c>
      <c r="C46" s="12" t="str">
        <f>HYPERLINK("https://drive.google.com/drive/folders/1N6l_Vg_aba3EKMYkwLml7Gc8qOUbxjg6?usp=sharing","https://drive.google.com/drive/folders/1N6l_Vg_aba3EKMYkwLml7Gc8qOUbxjg6?usp=sharing")</f>
        <v>https://drive.google.com/drive/folders/1N6l_Vg_aba3EKMYkwLml7Gc8qOUbxjg6?usp=sharing</v>
      </c>
      <c r="D46" s="7" t="s">
        <v>366</v>
      </c>
      <c r="E46" s="7" t="s">
        <v>168</v>
      </c>
      <c r="G46" s="8">
        <v>1</v>
      </c>
      <c r="I46" s="7" t="s">
        <v>367</v>
      </c>
      <c r="J46" s="7" t="s">
        <v>360</v>
      </c>
      <c r="K46" s="7" t="s">
        <v>361</v>
      </c>
      <c r="L46" s="7" t="s">
        <v>362</v>
      </c>
      <c r="M46" s="7" t="s">
        <v>64</v>
      </c>
      <c r="N46" s="7" t="s">
        <v>363</v>
      </c>
      <c r="O46" s="7" t="s">
        <v>31</v>
      </c>
      <c r="P46" s="7">
        <v>13106623233</v>
      </c>
      <c r="Q46" s="7" t="s">
        <v>364</v>
      </c>
      <c r="S46" s="7">
        <v>50003</v>
      </c>
      <c r="T46" s="7" t="s">
        <v>33</v>
      </c>
    </row>
    <row r="47" customHeight="1" spans="1:20">
      <c r="A47" s="7" t="s">
        <v>368</v>
      </c>
      <c r="B47" s="11">
        <v>46174</v>
      </c>
      <c r="C47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47" s="7" t="s">
        <v>369</v>
      </c>
      <c r="E47" s="7" t="s">
        <v>212</v>
      </c>
      <c r="G47" s="8">
        <v>1</v>
      </c>
      <c r="I47" s="7" t="s">
        <v>370</v>
      </c>
      <c r="J47" s="7" t="s">
        <v>360</v>
      </c>
      <c r="K47" s="7" t="s">
        <v>361</v>
      </c>
      <c r="L47" s="7" t="s">
        <v>362</v>
      </c>
      <c r="M47" s="7" t="s">
        <v>64</v>
      </c>
      <c r="N47" s="7" t="s">
        <v>363</v>
      </c>
      <c r="O47" s="7" t="s">
        <v>31</v>
      </c>
      <c r="P47" s="7">
        <v>13106623233</v>
      </c>
      <c r="Q47" s="7" t="s">
        <v>364</v>
      </c>
      <c r="S47" s="7">
        <v>50001</v>
      </c>
      <c r="T47" s="7" t="s">
        <v>33</v>
      </c>
    </row>
    <row r="48" customHeight="1" spans="1:20">
      <c r="A48" s="7" t="s">
        <v>371</v>
      </c>
      <c r="B48" s="11">
        <v>46174</v>
      </c>
      <c r="C48" s="12" t="str">
        <f>HYPERLINK("https://drive.google.com/drive/folders/1S4LbiDmGlN0uJwm8uOvuMBx1HZB8kC8l?usp=drive_link","https://drive.google.com/drive/folders/1S4LbiDmGlN0uJwm8uOvuMBx1HZB8kC8l?usp=drive_link")</f>
        <v>https://drive.google.com/drive/folders/1S4LbiDmGlN0uJwm8uOvuMBx1HZB8kC8l?usp=drive_link</v>
      </c>
      <c r="D48" s="7" t="s">
        <v>372</v>
      </c>
      <c r="E48" s="7" t="s">
        <v>181</v>
      </c>
      <c r="G48" s="8">
        <v>1</v>
      </c>
      <c r="I48" s="7" t="s">
        <v>373</v>
      </c>
      <c r="J48" s="7" t="s">
        <v>374</v>
      </c>
      <c r="K48" s="7" t="s">
        <v>375</v>
      </c>
      <c r="L48" s="7" t="s">
        <v>376</v>
      </c>
      <c r="M48" s="7" t="s">
        <v>226</v>
      </c>
      <c r="N48" s="7" t="s">
        <v>377</v>
      </c>
      <c r="O48" s="7" t="s">
        <v>31</v>
      </c>
      <c r="P48" s="7">
        <v>19282702470</v>
      </c>
      <c r="Q48" s="7" t="s">
        <v>378</v>
      </c>
      <c r="S48" s="7">
        <v>50005</v>
      </c>
      <c r="T48" s="7" t="s">
        <v>33</v>
      </c>
    </row>
    <row r="49" customHeight="1" spans="1:20">
      <c r="A49" s="7" t="s">
        <v>379</v>
      </c>
      <c r="B49" s="11">
        <v>46174</v>
      </c>
      <c r="C49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49" s="7" t="s">
        <v>380</v>
      </c>
      <c r="E49" s="7" t="s">
        <v>239</v>
      </c>
      <c r="G49" s="8">
        <v>1</v>
      </c>
      <c r="I49" s="7" t="s">
        <v>381</v>
      </c>
      <c r="J49" s="7" t="s">
        <v>382</v>
      </c>
      <c r="K49" s="7" t="s">
        <v>383</v>
      </c>
      <c r="L49" s="7" t="s">
        <v>384</v>
      </c>
      <c r="M49" s="7" t="s">
        <v>269</v>
      </c>
      <c r="N49" s="7" t="s">
        <v>385</v>
      </c>
      <c r="O49" s="7" t="s">
        <v>31</v>
      </c>
      <c r="P49" s="7">
        <v>15054440151</v>
      </c>
      <c r="Q49" s="7" t="s">
        <v>386</v>
      </c>
      <c r="S49" s="7">
        <v>50011</v>
      </c>
      <c r="T49" s="7" t="s">
        <v>33</v>
      </c>
    </row>
    <row r="50" customHeight="1" spans="1:20">
      <c r="A50" s="7" t="s">
        <v>387</v>
      </c>
      <c r="B50" s="11">
        <v>46174</v>
      </c>
      <c r="C50" s="12" t="str">
        <f>HYPERLINK("https://drive.google.com/drive/folders/1xXYJXSfVgY6iS5IwcTcQ8RSYR4VZztC2?usp=sharing","https://drive.google.com/drive/folders/1xXYJXSfVgY6iS5IwcTcQ8RSYR4VZztC2?usp=sharing")</f>
        <v>https://drive.google.com/drive/folders/1xXYJXSfVgY6iS5IwcTcQ8RSYR4VZztC2?usp=sharing</v>
      </c>
      <c r="D50" s="7" t="s">
        <v>388</v>
      </c>
      <c r="E50" s="7" t="s">
        <v>181</v>
      </c>
      <c r="G50" s="8">
        <v>1</v>
      </c>
      <c r="I50" s="7" t="s">
        <v>389</v>
      </c>
      <c r="J50" s="7" t="s">
        <v>390</v>
      </c>
      <c r="K50" s="7" t="s">
        <v>391</v>
      </c>
      <c r="L50" s="7" t="s">
        <v>392</v>
      </c>
      <c r="M50" s="7" t="s">
        <v>164</v>
      </c>
      <c r="N50" s="7" t="s">
        <v>393</v>
      </c>
      <c r="O50" s="7" t="s">
        <v>31</v>
      </c>
      <c r="P50" s="7">
        <v>15039976793</v>
      </c>
      <c r="Q50" s="7" t="s">
        <v>394</v>
      </c>
      <c r="S50" s="7">
        <v>50013</v>
      </c>
      <c r="T50" s="7" t="s">
        <v>33</v>
      </c>
    </row>
    <row r="51" customHeight="1" spans="1:20">
      <c r="A51" s="7" t="s">
        <v>387</v>
      </c>
      <c r="B51" s="11">
        <v>46174</v>
      </c>
      <c r="C51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51" s="7" t="s">
        <v>395</v>
      </c>
      <c r="E51" s="7" t="s">
        <v>181</v>
      </c>
      <c r="G51" s="8">
        <v>1</v>
      </c>
      <c r="I51" s="7" t="s">
        <v>389</v>
      </c>
      <c r="J51" s="7" t="s">
        <v>390</v>
      </c>
      <c r="K51" s="7" t="s">
        <v>391</v>
      </c>
      <c r="L51" s="7" t="s">
        <v>392</v>
      </c>
      <c r="M51" s="7" t="s">
        <v>164</v>
      </c>
      <c r="N51" s="7" t="s">
        <v>393</v>
      </c>
      <c r="O51" s="7" t="s">
        <v>31</v>
      </c>
      <c r="P51" s="7">
        <v>15039976793</v>
      </c>
      <c r="Q51" s="7" t="s">
        <v>394</v>
      </c>
      <c r="S51" s="7">
        <v>50014</v>
      </c>
      <c r="T51" s="7" t="s">
        <v>33</v>
      </c>
    </row>
    <row r="52" customHeight="1" spans="1:20">
      <c r="A52" s="7" t="s">
        <v>396</v>
      </c>
      <c r="B52" s="11">
        <v>46174</v>
      </c>
      <c r="C52" s="12" t="str">
        <f>HYPERLINK("https://drive.google.com/drive/folders/1xXYJXSfVgY6iS5IwcTcQ8RSYR4VZztC2?usp=sharing","https://drive.google.com/drive/folders/1xXYJXSfVgY6iS5IwcTcQ8RSYR4VZztC2?usp=sharing")</f>
        <v>https://drive.google.com/drive/folders/1xXYJXSfVgY6iS5IwcTcQ8RSYR4VZztC2?usp=sharing</v>
      </c>
      <c r="D52" s="7" t="s">
        <v>397</v>
      </c>
      <c r="E52" s="7" t="s">
        <v>239</v>
      </c>
      <c r="G52" s="8">
        <v>1</v>
      </c>
      <c r="I52" s="7" t="s">
        <v>398</v>
      </c>
      <c r="J52" s="7" t="s">
        <v>399</v>
      </c>
      <c r="K52" s="7" t="s">
        <v>400</v>
      </c>
      <c r="L52" s="7" t="s">
        <v>401</v>
      </c>
      <c r="M52" s="7" t="s">
        <v>64</v>
      </c>
      <c r="N52" s="7" t="s">
        <v>402</v>
      </c>
      <c r="O52" s="7" t="s">
        <v>31</v>
      </c>
      <c r="P52" s="7">
        <v>19099539636</v>
      </c>
      <c r="Q52" s="7" t="s">
        <v>403</v>
      </c>
      <c r="S52" s="7">
        <v>50022</v>
      </c>
      <c r="T52" s="7" t="s">
        <v>33</v>
      </c>
    </row>
    <row r="53" customHeight="1" spans="1:20">
      <c r="A53" s="7" t="s">
        <v>404</v>
      </c>
      <c r="B53" s="11">
        <v>46174</v>
      </c>
      <c r="C53" s="12" t="str">
        <f>HYPERLINK("https://drive.google.com/drive/folders/1S4LbiDmGlN0uJwm8uOvuMBx1HZB8kC8l?usp=drive_link","https://drive.google.com/drive/folders/1S4LbiDmGlN0uJwm8uOvuMBx1HZB8kC8l?usp=drive_link")</f>
        <v>https://drive.google.com/drive/folders/1S4LbiDmGlN0uJwm8uOvuMBx1HZB8kC8l?usp=drive_link</v>
      </c>
      <c r="D53" s="7" t="s">
        <v>405</v>
      </c>
      <c r="E53" s="7" t="s">
        <v>168</v>
      </c>
      <c r="G53" s="8">
        <v>1</v>
      </c>
      <c r="I53" s="7" t="s">
        <v>406</v>
      </c>
      <c r="J53" s="7" t="s">
        <v>407</v>
      </c>
      <c r="K53" s="7" t="s">
        <v>408</v>
      </c>
      <c r="L53" s="7" t="s">
        <v>409</v>
      </c>
      <c r="M53" s="7" t="s">
        <v>260</v>
      </c>
      <c r="N53" s="7" t="s">
        <v>410</v>
      </c>
      <c r="O53" s="7" t="s">
        <v>31</v>
      </c>
      <c r="P53" s="7">
        <v>18082321326</v>
      </c>
      <c r="Q53" s="7" t="s">
        <v>411</v>
      </c>
      <c r="S53" s="7">
        <v>50027</v>
      </c>
      <c r="T53" s="7" t="s">
        <v>33</v>
      </c>
    </row>
    <row r="54" customHeight="1" spans="1:20">
      <c r="A54" s="7" t="s">
        <v>412</v>
      </c>
      <c r="B54" s="11">
        <v>46174</v>
      </c>
      <c r="C54" s="12" t="str">
        <f>HYPERLINK("https://drive.google.com/drive/folders/1xEk5MfEHrt02Tzbyg0Ih8CqnUO71rJft?usp=sharing","https://drive.google.com/drive/folders/1xEk5MfEHrt02Tzbyg0Ih8CqnUO71rJft?usp=sharing")</f>
        <v>https://drive.google.com/drive/folders/1xEk5MfEHrt02Tzbyg0Ih8CqnUO71rJft?usp=sharing</v>
      </c>
      <c r="D54" s="7" t="s">
        <v>413</v>
      </c>
      <c r="E54" s="7" t="s">
        <v>212</v>
      </c>
      <c r="G54" s="8">
        <v>1</v>
      </c>
      <c r="H54" s="7" t="s">
        <v>291</v>
      </c>
      <c r="I54" s="7" t="s">
        <v>414</v>
      </c>
      <c r="J54" s="7" t="s">
        <v>415</v>
      </c>
      <c r="K54" s="7" t="s">
        <v>416</v>
      </c>
      <c r="L54" s="7" t="s">
        <v>417</v>
      </c>
      <c r="M54" s="7" t="s">
        <v>418</v>
      </c>
      <c r="N54" s="7" t="s">
        <v>419</v>
      </c>
      <c r="O54" s="7" t="s">
        <v>31</v>
      </c>
      <c r="P54" s="7">
        <v>19702134954</v>
      </c>
      <c r="Q54" s="7" t="s">
        <v>420</v>
      </c>
      <c r="S54" s="7">
        <v>50029</v>
      </c>
      <c r="T54" s="7" t="s">
        <v>33</v>
      </c>
    </row>
    <row r="55" customHeight="1" spans="1:20">
      <c r="A55" s="7" t="s">
        <v>412</v>
      </c>
      <c r="B55" s="11">
        <v>46174</v>
      </c>
      <c r="C55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55" s="7" t="s">
        <v>421</v>
      </c>
      <c r="E55" s="7" t="s">
        <v>181</v>
      </c>
      <c r="G55" s="8">
        <v>1</v>
      </c>
      <c r="I55" s="7" t="s">
        <v>414</v>
      </c>
      <c r="J55" s="7" t="s">
        <v>415</v>
      </c>
      <c r="K55" s="7" t="s">
        <v>416</v>
      </c>
      <c r="L55" s="7" t="s">
        <v>417</v>
      </c>
      <c r="M55" s="7" t="s">
        <v>418</v>
      </c>
      <c r="N55" s="7" t="s">
        <v>419</v>
      </c>
      <c r="O55" s="7" t="s">
        <v>31</v>
      </c>
      <c r="P55" s="7">
        <v>19702134954</v>
      </c>
      <c r="Q55" s="7" t="s">
        <v>420</v>
      </c>
      <c r="S55" s="7">
        <v>50030</v>
      </c>
      <c r="T55" s="7" t="s">
        <v>33</v>
      </c>
    </row>
    <row r="56" customHeight="1" spans="1:20">
      <c r="A56" s="7" t="s">
        <v>422</v>
      </c>
      <c r="B56" s="11">
        <v>46174</v>
      </c>
      <c r="C56" s="12" t="str">
        <f>HYPERLINK("https://drive.google.com/drive/folders/1dCKVh35RCpaNbjf1ZcUJpB2Do7Y6w02l?usp=sharing","https://drive.google.com/drive/folders/1dCKVh35RCpaNbjf1ZcUJpB2Do7Y6w02l?usp=sharing")</f>
        <v>https://drive.google.com/drive/folders/1dCKVh35RCpaNbjf1ZcUJpB2Do7Y6w02l?usp=sharing</v>
      </c>
      <c r="D56" s="7" t="s">
        <v>423</v>
      </c>
      <c r="E56" s="7" t="s">
        <v>181</v>
      </c>
      <c r="G56" s="8">
        <v>1</v>
      </c>
      <c r="H56" s="7" t="s">
        <v>424</v>
      </c>
      <c r="I56" s="7" t="s">
        <v>425</v>
      </c>
      <c r="J56" s="7" t="s">
        <v>415</v>
      </c>
      <c r="K56" s="7" t="s">
        <v>416</v>
      </c>
      <c r="L56" s="7" t="s">
        <v>417</v>
      </c>
      <c r="M56" s="7" t="s">
        <v>418</v>
      </c>
      <c r="N56" s="7" t="s">
        <v>419</v>
      </c>
      <c r="O56" s="7" t="s">
        <v>31</v>
      </c>
      <c r="P56" s="7">
        <v>19702134954</v>
      </c>
      <c r="Q56" s="7" t="s">
        <v>420</v>
      </c>
      <c r="S56" s="7">
        <v>50031</v>
      </c>
      <c r="T56" s="7" t="s">
        <v>33</v>
      </c>
    </row>
    <row r="57" customHeight="1" spans="1:20">
      <c r="A57" s="7" t="s">
        <v>426</v>
      </c>
      <c r="B57" s="11">
        <v>46174</v>
      </c>
      <c r="C57" s="12" t="str">
        <f>HYPERLINK("https://drive.google.com/drive/folders/1GUKA31bfN8-ikSOkUevrqDyy1hypyfKG?usp=sharing","https://drive.google.com/drive/folders/1GUKA31bfN8-ikSOkUevrqDyy1hypyfKG?usp=sharing")</f>
        <v>https://drive.google.com/drive/folders/1GUKA31bfN8-ikSOkUevrqDyy1hypyfKG?usp=sharing</v>
      </c>
      <c r="D57" s="7" t="s">
        <v>427</v>
      </c>
      <c r="E57" s="7" t="s">
        <v>212</v>
      </c>
      <c r="G57" s="8">
        <v>1</v>
      </c>
      <c r="H57" s="7" t="s">
        <v>428</v>
      </c>
      <c r="I57" s="7" t="s">
        <v>429</v>
      </c>
      <c r="J57" s="7" t="s">
        <v>430</v>
      </c>
      <c r="K57" s="7" t="s">
        <v>431</v>
      </c>
      <c r="L57" s="7" t="s">
        <v>194</v>
      </c>
      <c r="M57" s="7" t="s">
        <v>195</v>
      </c>
      <c r="N57" s="7" t="s">
        <v>432</v>
      </c>
      <c r="O57" s="7" t="s">
        <v>31</v>
      </c>
      <c r="P57" s="7">
        <v>17023490682</v>
      </c>
      <c r="Q57" s="7" t="s">
        <v>433</v>
      </c>
      <c r="S57" s="7">
        <v>50040</v>
      </c>
      <c r="T57" s="7" t="s">
        <v>33</v>
      </c>
    </row>
    <row r="58" customHeight="1" spans="1:20">
      <c r="A58" s="7" t="s">
        <v>434</v>
      </c>
      <c r="B58" s="11">
        <v>46174</v>
      </c>
      <c r="C58" s="12" t="str">
        <f>HYPERLINK("https://drive.google.com/drive/folders/1GUKA31bfN8-ikSOkUevrqDyy1hypyfKG?usp=sharing","https://drive.google.com/drive/folders/1GUKA31bfN8-ikSOkUevrqDyy1hypyfKG?usp=sharing")</f>
        <v>https://drive.google.com/drive/folders/1GUKA31bfN8-ikSOkUevrqDyy1hypyfKG?usp=sharing</v>
      </c>
      <c r="D58" s="7" t="s">
        <v>435</v>
      </c>
      <c r="E58" s="7" t="s">
        <v>212</v>
      </c>
      <c r="G58" s="8">
        <v>1</v>
      </c>
      <c r="H58" s="7" t="s">
        <v>428</v>
      </c>
      <c r="I58" s="7" t="s">
        <v>436</v>
      </c>
      <c r="J58" s="7" t="s">
        <v>430</v>
      </c>
      <c r="K58" s="7" t="s">
        <v>431</v>
      </c>
      <c r="L58" s="7" t="s">
        <v>194</v>
      </c>
      <c r="M58" s="7" t="s">
        <v>195</v>
      </c>
      <c r="N58" s="7" t="s">
        <v>432</v>
      </c>
      <c r="O58" s="7" t="s">
        <v>31</v>
      </c>
      <c r="P58" s="7">
        <v>17023490682</v>
      </c>
      <c r="Q58" s="7" t="s">
        <v>433</v>
      </c>
      <c r="S58" s="7">
        <v>50040</v>
      </c>
      <c r="T58" s="7" t="s">
        <v>33</v>
      </c>
    </row>
    <row r="59" customHeight="1" spans="1:20">
      <c r="A59" s="7" t="s">
        <v>437</v>
      </c>
      <c r="B59" s="11">
        <v>46174</v>
      </c>
      <c r="C59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59" s="7" t="s">
        <v>438</v>
      </c>
      <c r="E59" s="7" t="s">
        <v>212</v>
      </c>
      <c r="G59" s="8">
        <v>1</v>
      </c>
      <c r="I59" s="7" t="s">
        <v>439</v>
      </c>
      <c r="J59" s="7" t="s">
        <v>440</v>
      </c>
      <c r="K59" s="7" t="s">
        <v>441</v>
      </c>
      <c r="L59" s="7" t="s">
        <v>409</v>
      </c>
      <c r="M59" s="7" t="s">
        <v>260</v>
      </c>
      <c r="N59" s="7" t="s">
        <v>410</v>
      </c>
      <c r="O59" s="7" t="s">
        <v>31</v>
      </c>
      <c r="P59" s="7">
        <v>18082581288</v>
      </c>
      <c r="Q59" s="7" t="s">
        <v>442</v>
      </c>
      <c r="S59" s="7">
        <v>50045</v>
      </c>
      <c r="T59" s="7" t="s">
        <v>33</v>
      </c>
    </row>
    <row r="60" customHeight="1" spans="1:20">
      <c r="A60" s="7" t="s">
        <v>443</v>
      </c>
      <c r="B60" s="11">
        <v>46174</v>
      </c>
      <c r="C60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60" s="7" t="s">
        <v>444</v>
      </c>
      <c r="E60" s="7" t="s">
        <v>212</v>
      </c>
      <c r="G60" s="8">
        <v>1</v>
      </c>
      <c r="I60" s="7" t="s">
        <v>445</v>
      </c>
      <c r="J60" s="7" t="s">
        <v>440</v>
      </c>
      <c r="K60" s="7" t="s">
        <v>441</v>
      </c>
      <c r="L60" s="7" t="s">
        <v>409</v>
      </c>
      <c r="M60" s="7" t="s">
        <v>260</v>
      </c>
      <c r="N60" s="7" t="s">
        <v>410</v>
      </c>
      <c r="O60" s="7" t="s">
        <v>31</v>
      </c>
      <c r="P60" s="7">
        <v>18082581288</v>
      </c>
      <c r="Q60" s="7" t="s">
        <v>442</v>
      </c>
      <c r="S60" s="7">
        <v>50045</v>
      </c>
      <c r="T60" s="7" t="s">
        <v>33</v>
      </c>
    </row>
    <row r="61" customHeight="1" spans="1:20">
      <c r="A61" s="7" t="s">
        <v>446</v>
      </c>
      <c r="B61" s="11">
        <v>46174</v>
      </c>
      <c r="C61" s="12" t="str">
        <f>HYPERLINK("https://drive.google.com/drive/folders/1xXYJXSfVgY6iS5IwcTcQ8RSYR4VZztC2?usp=sharing","https://drive.google.com/drive/folders/1xXYJXSfVgY6iS5IwcTcQ8RSYR4VZztC2?usp=sharing")</f>
        <v>https://drive.google.com/drive/folders/1xXYJXSfVgY6iS5IwcTcQ8RSYR4VZztC2?usp=sharing</v>
      </c>
      <c r="D61" s="7" t="s">
        <v>447</v>
      </c>
      <c r="E61" s="7" t="s">
        <v>168</v>
      </c>
      <c r="G61" s="8">
        <v>1</v>
      </c>
      <c r="I61" s="7" t="s">
        <v>448</v>
      </c>
      <c r="J61" s="7" t="s">
        <v>449</v>
      </c>
      <c r="K61" s="7" t="s">
        <v>450</v>
      </c>
      <c r="L61" s="7" t="s">
        <v>451</v>
      </c>
      <c r="M61" s="7" t="s">
        <v>452</v>
      </c>
      <c r="N61" s="7" t="s">
        <v>453</v>
      </c>
      <c r="O61" s="7" t="s">
        <v>31</v>
      </c>
      <c r="P61" s="7">
        <v>12089360529</v>
      </c>
      <c r="Q61" s="7" t="s">
        <v>454</v>
      </c>
      <c r="S61" s="7">
        <v>50064</v>
      </c>
      <c r="T61" s="7" t="s">
        <v>33</v>
      </c>
    </row>
    <row r="62" customHeight="1" spans="1:20">
      <c r="A62" s="7" t="s">
        <v>446</v>
      </c>
      <c r="B62" s="11">
        <v>46174</v>
      </c>
      <c r="C62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62" s="7" t="s">
        <v>455</v>
      </c>
      <c r="E62" s="7" t="s">
        <v>159</v>
      </c>
      <c r="G62" s="8">
        <v>1</v>
      </c>
      <c r="I62" s="7" t="s">
        <v>448</v>
      </c>
      <c r="J62" s="7" t="s">
        <v>449</v>
      </c>
      <c r="K62" s="7" t="s">
        <v>450</v>
      </c>
      <c r="L62" s="7" t="s">
        <v>451</v>
      </c>
      <c r="M62" s="7" t="s">
        <v>452</v>
      </c>
      <c r="N62" s="7" t="s">
        <v>453</v>
      </c>
      <c r="O62" s="7" t="s">
        <v>31</v>
      </c>
      <c r="P62" s="7">
        <v>12089360529</v>
      </c>
      <c r="Q62" s="7" t="s">
        <v>454</v>
      </c>
      <c r="S62" s="7">
        <v>50065</v>
      </c>
      <c r="T62" s="7" t="s">
        <v>33</v>
      </c>
    </row>
    <row r="63" customHeight="1" spans="1:20">
      <c r="A63" s="7" t="s">
        <v>456</v>
      </c>
      <c r="B63" s="11">
        <v>46174</v>
      </c>
      <c r="C63" s="12" t="str">
        <f>HYPERLINK("https://drive.google.com/drive/folders/1ZFJ9qEVbFk75SnGNpX5B5mb7b9rZNRgr?usp=sharing","https://drive.google.com/drive/folders/1ZFJ9qEVbFk75SnGNpX5B5mb7b9rZNRgr?usp=sharing")</f>
        <v>https://drive.google.com/drive/folders/1ZFJ9qEVbFk75SnGNpX5B5mb7b9rZNRgr?usp=sharing</v>
      </c>
      <c r="D63" s="7" t="s">
        <v>457</v>
      </c>
      <c r="E63" s="7" t="s">
        <v>168</v>
      </c>
      <c r="G63" s="8">
        <v>1</v>
      </c>
      <c r="H63" s="7" t="s">
        <v>316</v>
      </c>
      <c r="I63" s="7" t="s">
        <v>458</v>
      </c>
      <c r="J63" s="7" t="s">
        <v>459</v>
      </c>
      <c r="K63" s="7" t="s">
        <v>460</v>
      </c>
      <c r="L63" s="7" t="s">
        <v>461</v>
      </c>
      <c r="M63" s="7" t="s">
        <v>64</v>
      </c>
      <c r="N63" s="7" t="s">
        <v>462</v>
      </c>
      <c r="O63" s="7" t="s">
        <v>31</v>
      </c>
      <c r="P63" s="7">
        <v>14086878885</v>
      </c>
      <c r="Q63" s="7" t="s">
        <v>463</v>
      </c>
      <c r="S63" s="7">
        <v>50060</v>
      </c>
      <c r="T63" s="7" t="s">
        <v>33</v>
      </c>
    </row>
    <row r="64" customHeight="1" spans="1:20">
      <c r="A64" s="7" t="s">
        <v>464</v>
      </c>
      <c r="B64" s="11">
        <v>46174</v>
      </c>
      <c r="C64" s="12" t="str">
        <f>HYPERLINK("https://drive.google.com/drive/folders/1ZkvdLQjtiFWV4aXWAxjDEiC8PYmxXUop?usp=sharing","https://drive.google.com/drive/folders/1ZkvdLQjtiFWV4aXWAxjDEiC8PYmxXUop?usp=sharing")</f>
        <v>https://drive.google.com/drive/folders/1ZkvdLQjtiFWV4aXWAxjDEiC8PYmxXUop?usp=sharing</v>
      </c>
      <c r="D64" s="7" t="s">
        <v>465</v>
      </c>
      <c r="E64" s="7" t="s">
        <v>168</v>
      </c>
      <c r="G64" s="8">
        <v>1</v>
      </c>
      <c r="I64" s="7" t="s">
        <v>466</v>
      </c>
      <c r="J64" s="7" t="s">
        <v>467</v>
      </c>
      <c r="K64" s="7" t="s">
        <v>468</v>
      </c>
      <c r="L64" s="7" t="s">
        <v>469</v>
      </c>
      <c r="M64" s="7" t="s">
        <v>195</v>
      </c>
      <c r="N64" s="7" t="s">
        <v>470</v>
      </c>
      <c r="O64" s="7" t="s">
        <v>31</v>
      </c>
      <c r="P64" s="7">
        <v>18087220177</v>
      </c>
      <c r="Q64" s="7" t="s">
        <v>471</v>
      </c>
      <c r="S64" s="7">
        <v>50062</v>
      </c>
      <c r="T64" s="7" t="s">
        <v>33</v>
      </c>
    </row>
    <row r="65" customHeight="1" spans="1:20">
      <c r="A65" s="7" t="s">
        <v>472</v>
      </c>
      <c r="B65" s="11">
        <v>46174</v>
      </c>
      <c r="C65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65" s="7" t="s">
        <v>473</v>
      </c>
      <c r="E65" s="7" t="s">
        <v>239</v>
      </c>
      <c r="G65" s="8">
        <v>1</v>
      </c>
      <c r="I65" s="7" t="s">
        <v>474</v>
      </c>
      <c r="J65" s="7" t="s">
        <v>475</v>
      </c>
      <c r="K65" s="7" t="s">
        <v>476</v>
      </c>
      <c r="L65" s="7" t="s">
        <v>477</v>
      </c>
      <c r="M65" s="7" t="s">
        <v>64</v>
      </c>
      <c r="N65" s="7" t="s">
        <v>478</v>
      </c>
      <c r="O65" s="7" t="s">
        <v>31</v>
      </c>
      <c r="P65" s="7">
        <v>13109808636</v>
      </c>
      <c r="Q65" s="7" t="s">
        <v>479</v>
      </c>
      <c r="R65" s="7" t="s">
        <v>480</v>
      </c>
      <c r="S65" s="7">
        <v>50073</v>
      </c>
      <c r="T65" s="7" t="s">
        <v>33</v>
      </c>
    </row>
    <row r="66" customHeight="1" spans="1:20">
      <c r="A66" s="7" t="s">
        <v>481</v>
      </c>
      <c r="B66" s="11">
        <v>46174</v>
      </c>
      <c r="C66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66" s="7" t="s">
        <v>482</v>
      </c>
      <c r="E66" s="7" t="s">
        <v>239</v>
      </c>
      <c r="G66" s="8">
        <v>1</v>
      </c>
      <c r="I66" s="7" t="s">
        <v>483</v>
      </c>
      <c r="J66" s="7" t="s">
        <v>475</v>
      </c>
      <c r="K66" s="7" t="s">
        <v>476</v>
      </c>
      <c r="L66" s="7" t="s">
        <v>477</v>
      </c>
      <c r="M66" s="7" t="s">
        <v>64</v>
      </c>
      <c r="N66" s="7" t="s">
        <v>478</v>
      </c>
      <c r="O66" s="7" t="s">
        <v>31</v>
      </c>
      <c r="P66" s="7">
        <v>13109808636</v>
      </c>
      <c r="Q66" s="7" t="s">
        <v>479</v>
      </c>
      <c r="R66" s="7" t="s">
        <v>480</v>
      </c>
      <c r="S66" s="7">
        <v>50073</v>
      </c>
      <c r="T66" s="7" t="s">
        <v>33</v>
      </c>
    </row>
    <row r="67" customHeight="1" spans="1:20">
      <c r="A67" s="7" t="s">
        <v>484</v>
      </c>
      <c r="B67" s="11">
        <v>46174</v>
      </c>
      <c r="C67" s="12" t="str">
        <f>HYPERLINK("https://drive.google.com/drive/folders/1agxOIDS5yrkI9AD1fI3hvFg_VW3atvPV?usp=drive_link","https://drive.google.com/drive/folders/1agxOIDS5yrkI9AD1fI3hvFg_VW3atvPV?usp=drive_link")</f>
        <v>https://drive.google.com/drive/folders/1agxOIDS5yrkI9AD1fI3hvFg_VW3atvPV?usp=drive_link</v>
      </c>
      <c r="D67" s="7" t="s">
        <v>485</v>
      </c>
      <c r="E67" s="7" t="s">
        <v>212</v>
      </c>
      <c r="G67" s="8">
        <v>1</v>
      </c>
      <c r="H67" s="7" t="s">
        <v>486</v>
      </c>
      <c r="I67" s="7" t="s">
        <v>487</v>
      </c>
      <c r="J67" s="7" t="s">
        <v>488</v>
      </c>
      <c r="K67" s="7" t="s">
        <v>489</v>
      </c>
      <c r="L67" s="7" t="s">
        <v>490</v>
      </c>
      <c r="M67" s="7" t="s">
        <v>64</v>
      </c>
      <c r="N67" s="7" t="s">
        <v>491</v>
      </c>
      <c r="O67" s="7" t="s">
        <v>31</v>
      </c>
      <c r="P67" s="7">
        <v>15593601490</v>
      </c>
      <c r="Q67" s="7" t="s">
        <v>492</v>
      </c>
      <c r="S67" s="7">
        <v>50075</v>
      </c>
      <c r="T67" s="7" t="s">
        <v>33</v>
      </c>
    </row>
    <row r="68" customHeight="1" spans="1:20">
      <c r="A68" s="7" t="s">
        <v>493</v>
      </c>
      <c r="B68" s="11">
        <v>46174</v>
      </c>
      <c r="C68" s="12" t="str">
        <f>HYPERLINK("https://drive.google.com/drive/folders/1TH7_esB60086IBSP8jfmvkXxeKwvvHVX?usp=sharing","https://drive.google.com/drive/folders/1TH7_esB60086IBSP8jfmvkXxeKwvvHVX?usp=sharing")</f>
        <v>https://drive.google.com/drive/folders/1TH7_esB60086IBSP8jfmvkXxeKwvvHVX?usp=sharing</v>
      </c>
      <c r="D68" s="7" t="s">
        <v>494</v>
      </c>
      <c r="E68" s="7" t="s">
        <v>149</v>
      </c>
      <c r="G68" s="8">
        <v>1</v>
      </c>
      <c r="H68" s="7" t="s">
        <v>495</v>
      </c>
      <c r="I68" s="7" t="s">
        <v>496</v>
      </c>
      <c r="J68" s="7" t="s">
        <v>497</v>
      </c>
      <c r="K68" s="7" t="s">
        <v>498</v>
      </c>
      <c r="L68" s="7" t="s">
        <v>499</v>
      </c>
      <c r="M68" s="7" t="s">
        <v>74</v>
      </c>
      <c r="N68" s="7" t="s">
        <v>500</v>
      </c>
      <c r="O68" s="7" t="s">
        <v>31</v>
      </c>
      <c r="P68" s="7">
        <v>13465447694</v>
      </c>
      <c r="Q68" s="7" t="s">
        <v>501</v>
      </c>
      <c r="S68" s="7">
        <v>50097</v>
      </c>
      <c r="T68" s="7" t="s">
        <v>33</v>
      </c>
    </row>
    <row r="69" customHeight="1" spans="1:20">
      <c r="A69" s="7" t="s">
        <v>502</v>
      </c>
      <c r="B69" s="11">
        <v>46174</v>
      </c>
      <c r="C69" s="12" t="str">
        <f>HYPERLINK("https://drive.google.com/drive/folders/1T9JJCOrUNUrweM3jUDhiXFER6686C0kL?usp=drive_link","https://drive.google.com/drive/folders/1T9JJCOrUNUrweM3jUDhiXFER6686C0kL?usp=drive_link")</f>
        <v>https://drive.google.com/drive/folders/1T9JJCOrUNUrweM3jUDhiXFER6686C0kL?usp=drive_link</v>
      </c>
      <c r="D69" s="7" t="s">
        <v>503</v>
      </c>
      <c r="E69" s="7" t="s">
        <v>239</v>
      </c>
      <c r="G69" s="8">
        <v>1</v>
      </c>
      <c r="I69" s="7" t="s">
        <v>504</v>
      </c>
      <c r="J69" s="7" t="s">
        <v>505</v>
      </c>
      <c r="K69" s="7" t="s">
        <v>506</v>
      </c>
      <c r="L69" s="7" t="s">
        <v>507</v>
      </c>
      <c r="M69" s="7" t="s">
        <v>508</v>
      </c>
      <c r="N69" s="7" t="s">
        <v>509</v>
      </c>
      <c r="O69" s="7" t="s">
        <v>31</v>
      </c>
      <c r="P69" s="7">
        <v>12064029391</v>
      </c>
      <c r="Q69" s="7" t="s">
        <v>510</v>
      </c>
      <c r="S69" s="7">
        <v>50099</v>
      </c>
      <c r="T69" s="7" t="s">
        <v>33</v>
      </c>
    </row>
    <row r="70" customHeight="1" spans="1:20">
      <c r="A70" s="7" t="s">
        <v>511</v>
      </c>
      <c r="B70" s="11">
        <v>46174</v>
      </c>
      <c r="C70" s="12" t="str">
        <f>HYPERLINK("https://drive.google.com/drive/folders/1T9JJCOrUNUrweM3jUDhiXFER6686C0kL?usp=drive_link","https://drive.google.com/drive/folders/1T9JJCOrUNUrweM3jUDhiXFER6686C0kL?usp=drive_link")</f>
        <v>https://drive.google.com/drive/folders/1T9JJCOrUNUrweM3jUDhiXFER6686C0kL?usp=drive_link</v>
      </c>
      <c r="D70" s="7" t="s">
        <v>512</v>
      </c>
      <c r="E70" s="7" t="s">
        <v>239</v>
      </c>
      <c r="G70" s="8">
        <v>1</v>
      </c>
      <c r="I70" s="7" t="s">
        <v>513</v>
      </c>
      <c r="J70" s="7" t="s">
        <v>505</v>
      </c>
      <c r="K70" s="7" t="s">
        <v>506</v>
      </c>
      <c r="L70" s="7" t="s">
        <v>507</v>
      </c>
      <c r="M70" s="7" t="s">
        <v>508</v>
      </c>
      <c r="N70" s="7" t="s">
        <v>509</v>
      </c>
      <c r="O70" s="7" t="s">
        <v>31</v>
      </c>
      <c r="P70" s="7">
        <v>12064029391</v>
      </c>
      <c r="Q70" s="7" t="s">
        <v>510</v>
      </c>
      <c r="S70" s="7">
        <v>50099</v>
      </c>
      <c r="T70" s="7" t="s">
        <v>33</v>
      </c>
    </row>
    <row r="71" customHeight="1" spans="1:20">
      <c r="A71" s="7" t="s">
        <v>514</v>
      </c>
      <c r="B71" s="11">
        <v>46174</v>
      </c>
      <c r="C71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71" s="7" t="s">
        <v>515</v>
      </c>
      <c r="E71" s="7" t="s">
        <v>168</v>
      </c>
      <c r="G71" s="8">
        <v>1</v>
      </c>
      <c r="I71" s="7" t="s">
        <v>516</v>
      </c>
      <c r="J71" s="7" t="s">
        <v>517</v>
      </c>
      <c r="K71" s="7" t="s">
        <v>518</v>
      </c>
      <c r="L71" s="7" t="s">
        <v>83</v>
      </c>
      <c r="M71" s="7" t="s">
        <v>74</v>
      </c>
      <c r="N71" s="7" t="s">
        <v>519</v>
      </c>
      <c r="O71" s="7" t="s">
        <v>31</v>
      </c>
      <c r="P71" s="7">
        <v>12105609902</v>
      </c>
      <c r="Q71" s="7" t="s">
        <v>520</v>
      </c>
      <c r="S71" s="7">
        <v>50106</v>
      </c>
      <c r="T71" s="7" t="s">
        <v>33</v>
      </c>
    </row>
    <row r="72" customHeight="1" spans="1:20">
      <c r="A72" s="7" t="s">
        <v>521</v>
      </c>
      <c r="B72" s="11">
        <v>46174</v>
      </c>
      <c r="C72" s="12" t="str">
        <f>HYPERLINK("https://drive.google.com/drive/folders/1EKBOgmDV-O2XNTn-Q_rCMsoXFajjJPzU?usp=sharing","https://drive.google.com/drive/folders/1EKBOgmDV-O2XNTn-Q_rCMsoXFajjJPzU?usp=sharing")</f>
        <v>https://drive.google.com/drive/folders/1EKBOgmDV-O2XNTn-Q_rCMsoXFajjJPzU?usp=sharing</v>
      </c>
      <c r="D72" s="7" t="s">
        <v>522</v>
      </c>
      <c r="E72" s="7" t="s">
        <v>212</v>
      </c>
      <c r="G72" s="8">
        <v>1</v>
      </c>
      <c r="I72" s="7" t="s">
        <v>523</v>
      </c>
      <c r="J72" s="7" t="s">
        <v>524</v>
      </c>
      <c r="K72" s="7" t="s">
        <v>525</v>
      </c>
      <c r="L72" s="7" t="s">
        <v>526</v>
      </c>
      <c r="M72" s="7" t="s">
        <v>527</v>
      </c>
      <c r="N72" s="7" t="s">
        <v>528</v>
      </c>
      <c r="O72" s="7" t="s">
        <v>31</v>
      </c>
      <c r="P72" s="7">
        <v>14048316925</v>
      </c>
      <c r="Q72" s="7" t="s">
        <v>529</v>
      </c>
      <c r="S72" s="7">
        <v>50110</v>
      </c>
      <c r="T72" s="7" t="s">
        <v>33</v>
      </c>
    </row>
    <row r="73" customHeight="1" spans="1:20">
      <c r="A73" s="7" t="s">
        <v>530</v>
      </c>
      <c r="B73" s="11">
        <v>46174</v>
      </c>
      <c r="C73" s="12" t="str">
        <f>HYPERLINK("https://drive.google.com/drive/folders/1FtJ7SvJ3rxGCzMtxN_SJLm4lOEcutHq4?usp=sharing","https://drive.google.com/drive/folders/1FtJ7SvJ3rxGCzMtxN_SJLm4lOEcutHq4?usp=sharing")</f>
        <v>https://drive.google.com/drive/folders/1FtJ7SvJ3rxGCzMtxN_SJLm4lOEcutHq4?usp=sharing</v>
      </c>
      <c r="D73" s="7" t="s">
        <v>531</v>
      </c>
      <c r="E73" s="7" t="s">
        <v>532</v>
      </c>
      <c r="G73" s="8">
        <v>1</v>
      </c>
      <c r="H73" s="7" t="s">
        <v>533</v>
      </c>
      <c r="I73" s="7" t="s">
        <v>534</v>
      </c>
      <c r="J73" s="7" t="s">
        <v>535</v>
      </c>
      <c r="K73" s="7" t="s">
        <v>536</v>
      </c>
      <c r="L73" s="7" t="s">
        <v>537</v>
      </c>
      <c r="M73" s="7" t="s">
        <v>538</v>
      </c>
      <c r="N73" s="7" t="s">
        <v>539</v>
      </c>
      <c r="O73" s="7" t="s">
        <v>31</v>
      </c>
      <c r="P73" s="7">
        <v>19104679064</v>
      </c>
      <c r="Q73" s="7" t="s">
        <v>540</v>
      </c>
      <c r="S73" s="7">
        <v>50112</v>
      </c>
      <c r="T73" s="7" t="s">
        <v>33</v>
      </c>
    </row>
    <row r="74" customHeight="1" spans="1:20">
      <c r="A74" s="7" t="s">
        <v>541</v>
      </c>
      <c r="B74" s="11">
        <v>46174</v>
      </c>
      <c r="C74" s="12" t="str">
        <f>HYPERLINK("https://drive.google.com/drive/folders/1N6l_Vg_aba3EKMYkwLml7Gc8qOUbxjg6?usp=sharing","https://drive.google.com/drive/folders/1N6l_Vg_aba3EKMYkwLml7Gc8qOUbxjg6?usp=sharing")</f>
        <v>https://drive.google.com/drive/folders/1N6l_Vg_aba3EKMYkwLml7Gc8qOUbxjg6?usp=sharing</v>
      </c>
      <c r="D74" s="7" t="s">
        <v>542</v>
      </c>
      <c r="E74" s="7" t="s">
        <v>181</v>
      </c>
      <c r="G74" s="8">
        <v>1</v>
      </c>
      <c r="I74" s="7" t="s">
        <v>543</v>
      </c>
      <c r="J74" s="7" t="s">
        <v>544</v>
      </c>
      <c r="K74" s="7" t="s">
        <v>545</v>
      </c>
      <c r="L74" s="7" t="s">
        <v>546</v>
      </c>
      <c r="M74" s="7" t="s">
        <v>547</v>
      </c>
      <c r="N74" s="7" t="s">
        <v>548</v>
      </c>
      <c r="O74" s="7" t="s">
        <v>31</v>
      </c>
      <c r="P74" s="7">
        <v>12058226462</v>
      </c>
      <c r="Q74" s="7" t="s">
        <v>549</v>
      </c>
      <c r="S74" s="7">
        <v>50114</v>
      </c>
      <c r="T74" s="7" t="s">
        <v>33</v>
      </c>
    </row>
    <row r="75" customHeight="1" spans="1:20">
      <c r="A75" s="7" t="s">
        <v>550</v>
      </c>
      <c r="B75" s="11">
        <v>46174</v>
      </c>
      <c r="C75" s="12" t="str">
        <f>HYPERLINK("https://drive.google.com/drive/folders/1oaeaJojwIwEBTSff2p51iXM6o2ypmw76?usp=sharing","https://drive.google.com/drive/folders/1oaeaJojwIwEBTSff2p51iXM6o2ypmw76?usp=sharing")</f>
        <v>https://drive.google.com/drive/folders/1oaeaJojwIwEBTSff2p51iXM6o2ypmw76?usp=sharing</v>
      </c>
      <c r="D75" s="7" t="s">
        <v>551</v>
      </c>
      <c r="E75" s="7" t="s">
        <v>168</v>
      </c>
      <c r="G75" s="8">
        <v>1</v>
      </c>
      <c r="I75" s="7" t="s">
        <v>552</v>
      </c>
      <c r="J75" s="7" t="s">
        <v>553</v>
      </c>
      <c r="K75" s="7" t="s">
        <v>554</v>
      </c>
      <c r="L75" s="7" t="s">
        <v>194</v>
      </c>
      <c r="M75" s="7" t="s">
        <v>195</v>
      </c>
      <c r="N75" s="7" t="s">
        <v>555</v>
      </c>
      <c r="O75" s="7" t="s">
        <v>31</v>
      </c>
      <c r="P75" s="7">
        <v>17605909401</v>
      </c>
      <c r="Q75" s="7" t="s">
        <v>556</v>
      </c>
      <c r="S75" s="7">
        <v>50118</v>
      </c>
      <c r="T75" s="7" t="s">
        <v>33</v>
      </c>
    </row>
    <row r="76" customHeight="1" spans="1:20">
      <c r="A76" s="7" t="s">
        <v>550</v>
      </c>
      <c r="B76" s="11">
        <v>46174</v>
      </c>
      <c r="C76" s="12" t="str">
        <f>HYPERLINK("https://drive.google.com/drive/folders/1xXYJXSfVgY6iS5IwcTcQ8RSYR4VZztC2?usp=sharing","https://drive.google.com/drive/folders/1xXYJXSfVgY6iS5IwcTcQ8RSYR4VZztC2?usp=sharing")</f>
        <v>https://drive.google.com/drive/folders/1xXYJXSfVgY6iS5IwcTcQ8RSYR4VZztC2?usp=sharing</v>
      </c>
      <c r="D76" s="7" t="s">
        <v>557</v>
      </c>
      <c r="E76" s="7" t="s">
        <v>168</v>
      </c>
      <c r="G76" s="8">
        <v>1</v>
      </c>
      <c r="I76" s="7" t="s">
        <v>552</v>
      </c>
      <c r="J76" s="7" t="s">
        <v>553</v>
      </c>
      <c r="K76" s="7" t="s">
        <v>554</v>
      </c>
      <c r="L76" s="7" t="s">
        <v>194</v>
      </c>
      <c r="M76" s="7" t="s">
        <v>195</v>
      </c>
      <c r="N76" s="7" t="s">
        <v>555</v>
      </c>
      <c r="O76" s="7" t="s">
        <v>31</v>
      </c>
      <c r="P76" s="7">
        <v>17605909401</v>
      </c>
      <c r="Q76" s="7" t="s">
        <v>556</v>
      </c>
      <c r="S76" s="7">
        <v>50119</v>
      </c>
      <c r="T76" s="7" t="s">
        <v>33</v>
      </c>
    </row>
    <row r="77" customHeight="1" spans="1:20">
      <c r="A77" s="7" t="s">
        <v>558</v>
      </c>
      <c r="B77" s="11">
        <v>46174</v>
      </c>
      <c r="C77" s="12" t="str">
        <f>HYPERLINK("https://drive.google.com/drive/folders/1N6l_Vg_aba3EKMYkwLml7Gc8qOUbxjg6?usp=sharing","https://drive.google.com/drive/folders/1N6l_Vg_aba3EKMYkwLml7Gc8qOUbxjg6?usp=sharing")</f>
        <v>https://drive.google.com/drive/folders/1N6l_Vg_aba3EKMYkwLml7Gc8qOUbxjg6?usp=sharing</v>
      </c>
      <c r="D77" s="7" t="s">
        <v>559</v>
      </c>
      <c r="E77" s="7" t="s">
        <v>239</v>
      </c>
      <c r="G77" s="8">
        <v>1</v>
      </c>
      <c r="I77" s="7" t="s">
        <v>560</v>
      </c>
      <c r="J77" s="7" t="s">
        <v>561</v>
      </c>
      <c r="K77" s="7" t="s">
        <v>562</v>
      </c>
      <c r="L77" s="7" t="s">
        <v>563</v>
      </c>
      <c r="M77" s="7" t="s">
        <v>195</v>
      </c>
      <c r="N77" s="7" t="s">
        <v>564</v>
      </c>
      <c r="O77" s="7" t="s">
        <v>31</v>
      </c>
      <c r="P77" s="7">
        <v>17027385126</v>
      </c>
      <c r="Q77" s="7" t="s">
        <v>565</v>
      </c>
      <c r="S77" s="7">
        <v>50121</v>
      </c>
      <c r="T77" s="7" t="s">
        <v>33</v>
      </c>
    </row>
    <row r="78" customHeight="1" spans="1:20">
      <c r="A78" s="7" t="s">
        <v>558</v>
      </c>
      <c r="B78" s="11">
        <v>46174</v>
      </c>
      <c r="C78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78" s="7" t="s">
        <v>566</v>
      </c>
      <c r="E78" s="7" t="s">
        <v>239</v>
      </c>
      <c r="G78" s="8">
        <v>1</v>
      </c>
      <c r="I78" s="7" t="s">
        <v>560</v>
      </c>
      <c r="J78" s="7" t="s">
        <v>561</v>
      </c>
      <c r="K78" s="7" t="s">
        <v>562</v>
      </c>
      <c r="L78" s="7" t="s">
        <v>563</v>
      </c>
      <c r="M78" s="7" t="s">
        <v>195</v>
      </c>
      <c r="N78" s="7" t="s">
        <v>564</v>
      </c>
      <c r="O78" s="7" t="s">
        <v>31</v>
      </c>
      <c r="P78" s="7">
        <v>17027385126</v>
      </c>
      <c r="Q78" s="7" t="s">
        <v>565</v>
      </c>
      <c r="S78" s="7">
        <v>50122</v>
      </c>
      <c r="T78" s="7" t="s">
        <v>33</v>
      </c>
    </row>
    <row r="79" customHeight="1" spans="1:20">
      <c r="A79" s="7" t="s">
        <v>567</v>
      </c>
      <c r="B79" s="11">
        <v>46174</v>
      </c>
      <c r="C79" s="12" t="str">
        <f>HYPERLINK("https://drive.google.com/drive/folders/1ZkvdLQjtiFWV4aXWAxjDEiC8PYmxXUop?usp=sharing","https://drive.google.com/drive/folders/1ZkvdLQjtiFWV4aXWAxjDEiC8PYmxXUop?usp=sharing")</f>
        <v>https://drive.google.com/drive/folders/1ZkvdLQjtiFWV4aXWAxjDEiC8PYmxXUop?usp=sharing</v>
      </c>
      <c r="D79" s="7" t="s">
        <v>568</v>
      </c>
      <c r="E79" s="7" t="s">
        <v>239</v>
      </c>
      <c r="G79" s="8">
        <v>1</v>
      </c>
      <c r="I79" s="7" t="s">
        <v>569</v>
      </c>
      <c r="J79" s="7" t="s">
        <v>570</v>
      </c>
      <c r="K79" s="7" t="s">
        <v>571</v>
      </c>
      <c r="L79" s="7" t="s">
        <v>572</v>
      </c>
      <c r="M79" s="7" t="s">
        <v>573</v>
      </c>
      <c r="N79" s="7" t="s">
        <v>574</v>
      </c>
      <c r="O79" s="7" t="s">
        <v>31</v>
      </c>
      <c r="P79" s="7">
        <v>16062249711</v>
      </c>
      <c r="Q79" s="7" t="s">
        <v>575</v>
      </c>
      <c r="S79" s="7">
        <v>50135</v>
      </c>
      <c r="T79" s="7" t="s">
        <v>33</v>
      </c>
    </row>
    <row r="80" customHeight="1" spans="1:20">
      <c r="A80" s="7" t="s">
        <v>567</v>
      </c>
      <c r="B80" s="11">
        <v>46174</v>
      </c>
      <c r="C80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80" s="7" t="s">
        <v>576</v>
      </c>
      <c r="E80" s="7" t="s">
        <v>239</v>
      </c>
      <c r="G80" s="8">
        <v>1</v>
      </c>
      <c r="I80" s="7" t="s">
        <v>569</v>
      </c>
      <c r="J80" s="7" t="s">
        <v>570</v>
      </c>
      <c r="K80" s="7" t="s">
        <v>571</v>
      </c>
      <c r="L80" s="7" t="s">
        <v>572</v>
      </c>
      <c r="M80" s="7" t="s">
        <v>573</v>
      </c>
      <c r="N80" s="7" t="s">
        <v>574</v>
      </c>
      <c r="O80" s="7" t="s">
        <v>31</v>
      </c>
      <c r="P80" s="7">
        <v>16062249711</v>
      </c>
      <c r="Q80" s="7" t="s">
        <v>575</v>
      </c>
      <c r="S80" s="7">
        <v>50136</v>
      </c>
      <c r="T80" s="7" t="s">
        <v>33</v>
      </c>
    </row>
    <row r="81" s="6" customFormat="1" customHeight="1" spans="1:20">
      <c r="A81" s="6" t="s">
        <v>577</v>
      </c>
      <c r="B81" s="14">
        <v>46174</v>
      </c>
      <c r="C81" s="15" t="str">
        <f>HYPERLINK("https://drive.google.com/drive/folders/1SSB92TiuJmaKm1iluCnRzGdHTGfivSqV?usp=sharing","https://drive.google.com/drive/folders/1SSB92TiuJmaKm1iluCnRzGdHTGfivSqV?usp=sharing")</f>
        <v>https://drive.google.com/drive/folders/1SSB92TiuJmaKm1iluCnRzGdHTGfivSqV?usp=sharing</v>
      </c>
      <c r="D81" s="6" t="s">
        <v>578</v>
      </c>
      <c r="E81" s="6" t="s">
        <v>579</v>
      </c>
      <c r="F81" s="6"/>
      <c r="G81" s="16">
        <v>1</v>
      </c>
      <c r="I81" s="6" t="s">
        <v>580</v>
      </c>
      <c r="J81" s="6" t="s">
        <v>581</v>
      </c>
      <c r="K81" s="6" t="s">
        <v>582</v>
      </c>
      <c r="L81" s="6" t="s">
        <v>583</v>
      </c>
      <c r="M81" s="6" t="s">
        <v>538</v>
      </c>
      <c r="N81" s="6" t="s">
        <v>584</v>
      </c>
      <c r="O81" s="6" t="s">
        <v>31</v>
      </c>
      <c r="P81" s="6">
        <v>19197101914</v>
      </c>
      <c r="Q81" s="6" t="s">
        <v>585</v>
      </c>
      <c r="S81" s="6">
        <v>50140</v>
      </c>
      <c r="T81" s="6" t="s">
        <v>33</v>
      </c>
    </row>
    <row r="82" customHeight="1" spans="1:20">
      <c r="A82" s="7" t="s">
        <v>586</v>
      </c>
      <c r="B82" s="11">
        <v>46174</v>
      </c>
      <c r="C82" s="12" t="str">
        <f>HYPERLINK("https://drive.google.com/drive/folders/1ZkvdLQjtiFWV4aXWAxjDEiC8PYmxXUop?usp=sharing","https://drive.google.com/drive/folders/1ZkvdLQjtiFWV4aXWAxjDEiC8PYmxXUop?usp=sharing")</f>
        <v>https://drive.google.com/drive/folders/1ZkvdLQjtiFWV4aXWAxjDEiC8PYmxXUop?usp=sharing</v>
      </c>
      <c r="D82" s="7" t="s">
        <v>587</v>
      </c>
      <c r="E82" s="7" t="s">
        <v>239</v>
      </c>
      <c r="G82" s="8">
        <v>1</v>
      </c>
      <c r="I82" s="7" t="s">
        <v>588</v>
      </c>
      <c r="J82" s="7" t="s">
        <v>589</v>
      </c>
      <c r="K82" s="7" t="s">
        <v>590</v>
      </c>
      <c r="L82" s="7" t="s">
        <v>591</v>
      </c>
      <c r="M82" s="7" t="s">
        <v>64</v>
      </c>
      <c r="N82" s="7" t="s">
        <v>592</v>
      </c>
      <c r="O82" s="7" t="s">
        <v>31</v>
      </c>
      <c r="P82" s="7">
        <v>19167153546</v>
      </c>
      <c r="Q82" s="7" t="s">
        <v>593</v>
      </c>
      <c r="S82" s="7">
        <v>50142</v>
      </c>
      <c r="T82" s="7" t="s">
        <v>33</v>
      </c>
    </row>
    <row r="83" customHeight="1" spans="1:20">
      <c r="A83" s="7" t="s">
        <v>594</v>
      </c>
      <c r="B83" s="11">
        <v>46174</v>
      </c>
      <c r="C83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83" s="7" t="s">
        <v>595</v>
      </c>
      <c r="E83" s="7" t="s">
        <v>171</v>
      </c>
      <c r="G83" s="8">
        <v>1</v>
      </c>
      <c r="I83" s="7" t="s">
        <v>596</v>
      </c>
      <c r="J83" s="7" t="s">
        <v>597</v>
      </c>
      <c r="K83" s="7" t="s">
        <v>598</v>
      </c>
      <c r="L83" s="7" t="s">
        <v>599</v>
      </c>
      <c r="M83" s="7" t="s">
        <v>64</v>
      </c>
      <c r="N83" s="7" t="s">
        <v>600</v>
      </c>
      <c r="O83" s="7" t="s">
        <v>31</v>
      </c>
      <c r="P83" s="7">
        <v>19098274930</v>
      </c>
      <c r="Q83" s="7" t="s">
        <v>601</v>
      </c>
      <c r="S83" s="7">
        <v>50145</v>
      </c>
      <c r="T83" s="7" t="s">
        <v>33</v>
      </c>
    </row>
    <row r="84" customHeight="1" spans="1:20">
      <c r="A84" s="7" t="s">
        <v>602</v>
      </c>
      <c r="B84" s="11">
        <v>46174</v>
      </c>
      <c r="C84" s="12" t="str">
        <f>HYPERLINK("https://drive.google.com/drive/folders/1N6l_Vg_aba3EKMYkwLml7Gc8qOUbxjg6?usp=sharing","https://drive.google.com/drive/folders/1N6l_Vg_aba3EKMYkwLml7Gc8qOUbxjg6?usp=sharing")</f>
        <v>https://drive.google.com/drive/folders/1N6l_Vg_aba3EKMYkwLml7Gc8qOUbxjg6?usp=sharing</v>
      </c>
      <c r="D84" s="7" t="s">
        <v>603</v>
      </c>
      <c r="E84" s="7" t="s">
        <v>212</v>
      </c>
      <c r="G84" s="8">
        <v>1</v>
      </c>
      <c r="I84" s="7" t="s">
        <v>604</v>
      </c>
      <c r="J84" s="7" t="s">
        <v>605</v>
      </c>
      <c r="K84" s="7" t="s">
        <v>606</v>
      </c>
      <c r="L84" s="7" t="s">
        <v>607</v>
      </c>
      <c r="M84" s="7" t="s">
        <v>608</v>
      </c>
      <c r="N84" s="7" t="s">
        <v>609</v>
      </c>
      <c r="O84" s="7" t="s">
        <v>31</v>
      </c>
      <c r="P84" s="7">
        <v>18013587098</v>
      </c>
      <c r="Q84" s="7" t="s">
        <v>610</v>
      </c>
      <c r="S84" s="7">
        <v>50147</v>
      </c>
      <c r="T84" s="7" t="s">
        <v>33</v>
      </c>
    </row>
    <row r="85" customHeight="1" spans="1:20">
      <c r="A85" s="7" t="s">
        <v>611</v>
      </c>
      <c r="B85" s="11">
        <v>46174</v>
      </c>
      <c r="C85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85" s="7" t="s">
        <v>612</v>
      </c>
      <c r="E85" s="7" t="s">
        <v>181</v>
      </c>
      <c r="G85" s="8">
        <v>1</v>
      </c>
      <c r="I85" s="7" t="s">
        <v>613</v>
      </c>
      <c r="J85" s="7" t="s">
        <v>614</v>
      </c>
      <c r="K85" s="7" t="s">
        <v>615</v>
      </c>
      <c r="L85" s="7" t="s">
        <v>616</v>
      </c>
      <c r="M85" s="7" t="s">
        <v>64</v>
      </c>
      <c r="N85" s="7" t="s">
        <v>617</v>
      </c>
      <c r="O85" s="7" t="s">
        <v>31</v>
      </c>
      <c r="P85" s="7">
        <v>18182902968</v>
      </c>
      <c r="Q85" s="7" t="s">
        <v>618</v>
      </c>
      <c r="S85" s="7">
        <v>50153</v>
      </c>
      <c r="T85" s="7" t="s">
        <v>33</v>
      </c>
    </row>
    <row r="86" customHeight="1" spans="1:20">
      <c r="A86" s="7" t="s">
        <v>619</v>
      </c>
      <c r="B86" s="11">
        <v>46174</v>
      </c>
      <c r="C86" s="12" t="str">
        <f>HYPERLINK("https://drive.google.com/drive/folders/1N6l_Vg_aba3EKMYkwLml7Gc8qOUbxjg6?usp=sharing","https://drive.google.com/drive/folders/1N6l_Vg_aba3EKMYkwLml7Gc8qOUbxjg6?usp=sharing")</f>
        <v>https://drive.google.com/drive/folders/1N6l_Vg_aba3EKMYkwLml7Gc8qOUbxjg6?usp=sharing</v>
      </c>
      <c r="D86" s="7" t="s">
        <v>620</v>
      </c>
      <c r="E86" s="7" t="s">
        <v>168</v>
      </c>
      <c r="G86" s="8">
        <v>1</v>
      </c>
      <c r="I86" s="7" t="s">
        <v>621</v>
      </c>
      <c r="J86" s="7" t="s">
        <v>622</v>
      </c>
      <c r="K86" s="7" t="s">
        <v>623</v>
      </c>
      <c r="L86" s="7" t="s">
        <v>194</v>
      </c>
      <c r="M86" s="7" t="s">
        <v>195</v>
      </c>
      <c r="N86" s="7" t="s">
        <v>624</v>
      </c>
      <c r="O86" s="7" t="s">
        <v>31</v>
      </c>
      <c r="P86" s="7">
        <v>17025809961</v>
      </c>
      <c r="Q86" s="7" t="s">
        <v>625</v>
      </c>
      <c r="S86" s="7">
        <v>50155</v>
      </c>
      <c r="T86" s="7" t="s">
        <v>33</v>
      </c>
    </row>
    <row r="87" customHeight="1" spans="1:20">
      <c r="A87" s="7" t="s">
        <v>626</v>
      </c>
      <c r="B87" s="11">
        <v>46174</v>
      </c>
      <c r="C87" s="12" t="str">
        <f>HYPERLINK("https://drive.google.com/drive/folders/1KbPM0VOIBUp6hb6RdhMD496LX7DMxWa7?usp=drive_link","https://drive.google.com/drive/folders/1KbPM0VOIBUp6hb6RdhMD496LX7DMxWa7?usp=drive_link")</f>
        <v>https://drive.google.com/drive/folders/1KbPM0VOIBUp6hb6RdhMD496LX7DMxWa7?usp=drive_link</v>
      </c>
      <c r="D87" s="7" t="s">
        <v>627</v>
      </c>
      <c r="E87" s="7" t="s">
        <v>212</v>
      </c>
      <c r="G87" s="8">
        <v>1</v>
      </c>
      <c r="I87" s="7" t="s">
        <v>628</v>
      </c>
      <c r="J87" s="7" t="s">
        <v>629</v>
      </c>
      <c r="K87" s="7" t="s">
        <v>630</v>
      </c>
      <c r="L87" s="7" t="s">
        <v>631</v>
      </c>
      <c r="M87" s="7" t="s">
        <v>64</v>
      </c>
      <c r="N87" s="7" t="s">
        <v>632</v>
      </c>
      <c r="O87" s="7" t="s">
        <v>31</v>
      </c>
      <c r="P87" s="7">
        <v>15598245315</v>
      </c>
      <c r="Q87" s="7" t="s">
        <v>633</v>
      </c>
      <c r="S87" s="7">
        <v>50159</v>
      </c>
      <c r="T87" s="7" t="s">
        <v>33</v>
      </c>
    </row>
    <row r="88" customHeight="1" spans="1:20">
      <c r="A88" s="7" t="s">
        <v>626</v>
      </c>
      <c r="B88" s="11">
        <v>46174</v>
      </c>
      <c r="C88" s="12" t="str">
        <f>HYPERLINK("https://drive.google.com/drive/folders/16F0Cuq_5Tv2Tmdm6c_aPogg5TWMd2bS6?usp=drive_link","https://drive.google.com/drive/folders/16F0Cuq_5Tv2Tmdm6c_aPogg5TWMd2bS6?usp=drive_link")</f>
        <v>https://drive.google.com/drive/folders/16F0Cuq_5Tv2Tmdm6c_aPogg5TWMd2bS6?usp=drive_link</v>
      </c>
      <c r="D88" s="7" t="s">
        <v>634</v>
      </c>
      <c r="E88" s="7" t="s">
        <v>212</v>
      </c>
      <c r="G88" s="8">
        <v>1</v>
      </c>
      <c r="I88" s="7" t="s">
        <v>628</v>
      </c>
      <c r="J88" s="7" t="s">
        <v>629</v>
      </c>
      <c r="K88" s="7" t="s">
        <v>630</v>
      </c>
      <c r="L88" s="7" t="s">
        <v>631</v>
      </c>
      <c r="M88" s="7" t="s">
        <v>64</v>
      </c>
      <c r="N88" s="7" t="s">
        <v>632</v>
      </c>
      <c r="O88" s="7" t="s">
        <v>31</v>
      </c>
      <c r="P88" s="7">
        <v>15598245315</v>
      </c>
      <c r="Q88" s="7" t="s">
        <v>633</v>
      </c>
      <c r="S88" s="7">
        <v>50160</v>
      </c>
      <c r="T88" s="7" t="s">
        <v>33</v>
      </c>
    </row>
    <row r="89" customHeight="1" spans="1:20">
      <c r="A89" s="7" t="s">
        <v>635</v>
      </c>
      <c r="B89" s="11">
        <v>46174</v>
      </c>
      <c r="C89" s="12" t="str">
        <f>HYPERLINK("https://drive.google.com/drive/folders/1KbPM0VOIBUp6hb6RdhMD496LX7DMxWa7?usp=drive_link","https://drive.google.com/drive/folders/1KbPM0VOIBUp6hb6RdhMD496LX7DMxWa7?usp=drive_link")</f>
        <v>https://drive.google.com/drive/folders/1KbPM0VOIBUp6hb6RdhMD496LX7DMxWa7?usp=drive_link</v>
      </c>
      <c r="D89" s="7" t="s">
        <v>636</v>
      </c>
      <c r="E89" s="7" t="s">
        <v>212</v>
      </c>
      <c r="G89" s="8">
        <v>1</v>
      </c>
      <c r="I89" s="7" t="s">
        <v>637</v>
      </c>
      <c r="J89" s="7" t="s">
        <v>629</v>
      </c>
      <c r="K89" s="7" t="s">
        <v>630</v>
      </c>
      <c r="L89" s="7" t="s">
        <v>631</v>
      </c>
      <c r="M89" s="7" t="s">
        <v>64</v>
      </c>
      <c r="N89" s="7" t="s">
        <v>632</v>
      </c>
      <c r="O89" s="7" t="s">
        <v>31</v>
      </c>
      <c r="P89" s="7">
        <v>15598245315</v>
      </c>
      <c r="Q89" s="7" t="s">
        <v>633</v>
      </c>
      <c r="S89" s="7">
        <v>50159</v>
      </c>
      <c r="T89" s="7" t="s">
        <v>33</v>
      </c>
    </row>
    <row r="90" customHeight="1" spans="1:20">
      <c r="A90" s="7" t="s">
        <v>635</v>
      </c>
      <c r="B90" s="11">
        <v>46174</v>
      </c>
      <c r="C90" s="12" t="str">
        <f>HYPERLINK("https://drive.google.com/drive/folders/16F0Cuq_5Tv2Tmdm6c_aPogg5TWMd2bS6?usp=drive_link","https://drive.google.com/drive/folders/16F0Cuq_5Tv2Tmdm6c_aPogg5TWMd2bS6?usp=drive_link")</f>
        <v>https://drive.google.com/drive/folders/16F0Cuq_5Tv2Tmdm6c_aPogg5TWMd2bS6?usp=drive_link</v>
      </c>
      <c r="D90" s="7" t="s">
        <v>638</v>
      </c>
      <c r="E90" s="7" t="s">
        <v>212</v>
      </c>
      <c r="G90" s="8">
        <v>1</v>
      </c>
      <c r="I90" s="7" t="s">
        <v>637</v>
      </c>
      <c r="J90" s="7" t="s">
        <v>629</v>
      </c>
      <c r="K90" s="7" t="s">
        <v>630</v>
      </c>
      <c r="L90" s="7" t="s">
        <v>631</v>
      </c>
      <c r="M90" s="7" t="s">
        <v>64</v>
      </c>
      <c r="N90" s="7" t="s">
        <v>632</v>
      </c>
      <c r="O90" s="7" t="s">
        <v>31</v>
      </c>
      <c r="P90" s="7">
        <v>15598245315</v>
      </c>
      <c r="Q90" s="7" t="s">
        <v>633</v>
      </c>
      <c r="S90" s="7">
        <v>50160</v>
      </c>
      <c r="T90" s="7" t="s">
        <v>33</v>
      </c>
    </row>
    <row r="91" customHeight="1" spans="1:20">
      <c r="A91" s="7" t="s">
        <v>639</v>
      </c>
      <c r="B91" s="11">
        <v>46174</v>
      </c>
      <c r="C91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91" s="7" t="s">
        <v>640</v>
      </c>
      <c r="E91" s="7" t="s">
        <v>168</v>
      </c>
      <c r="G91" s="8">
        <v>1</v>
      </c>
      <c r="I91" s="7" t="s">
        <v>641</v>
      </c>
      <c r="J91" s="7" t="s">
        <v>642</v>
      </c>
      <c r="K91" s="7" t="s">
        <v>643</v>
      </c>
      <c r="L91" s="7" t="s">
        <v>644</v>
      </c>
      <c r="M91" s="7" t="s">
        <v>608</v>
      </c>
      <c r="N91" s="7" t="s">
        <v>645</v>
      </c>
      <c r="O91" s="7" t="s">
        <v>31</v>
      </c>
      <c r="P91" s="7">
        <v>18016511034</v>
      </c>
      <c r="Q91" s="7" t="s">
        <v>646</v>
      </c>
      <c r="S91" s="7">
        <v>50163</v>
      </c>
      <c r="T91" s="7" t="s">
        <v>33</v>
      </c>
    </row>
    <row r="92" customHeight="1" spans="1:20">
      <c r="A92" s="7" t="s">
        <v>647</v>
      </c>
      <c r="B92" s="11">
        <v>46174</v>
      </c>
      <c r="C92" s="12" t="str">
        <f>HYPERLINK("https://drive.google.com/drive/folders/1cwQ1VfXthGXnCJ_mBzNEUqL2iNCuMdUZ?usp=sharing","https://drive.google.com/drive/folders/1cwQ1VfXthGXnCJ_mBzNEUqL2iNCuMdUZ?usp=sharing")</f>
        <v>https://drive.google.com/drive/folders/1cwQ1VfXthGXnCJ_mBzNEUqL2iNCuMdUZ?usp=sharing</v>
      </c>
      <c r="D92" s="7" t="s">
        <v>648</v>
      </c>
      <c r="E92" s="7" t="s">
        <v>239</v>
      </c>
      <c r="G92" s="8">
        <v>1</v>
      </c>
      <c r="H92" s="7" t="s">
        <v>291</v>
      </c>
      <c r="I92" s="7" t="s">
        <v>649</v>
      </c>
      <c r="J92" s="7" t="s">
        <v>650</v>
      </c>
      <c r="K92" s="7" t="s">
        <v>651</v>
      </c>
      <c r="L92" s="7" t="s">
        <v>652</v>
      </c>
      <c r="M92" s="7" t="s">
        <v>608</v>
      </c>
      <c r="N92" s="7" t="s">
        <v>653</v>
      </c>
      <c r="O92" s="7" t="s">
        <v>31</v>
      </c>
      <c r="P92" s="7">
        <v>14358231809</v>
      </c>
      <c r="Q92" s="7" t="s">
        <v>654</v>
      </c>
      <c r="S92" s="7">
        <v>50167</v>
      </c>
      <c r="T92" s="7" t="s">
        <v>33</v>
      </c>
    </row>
    <row r="93" customHeight="1" spans="1:20">
      <c r="A93" s="7" t="s">
        <v>647</v>
      </c>
      <c r="B93" s="11">
        <v>46174</v>
      </c>
      <c r="C93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93" s="7" t="s">
        <v>655</v>
      </c>
      <c r="E93" s="7" t="s">
        <v>239</v>
      </c>
      <c r="G93" s="8">
        <v>1</v>
      </c>
      <c r="I93" s="7" t="s">
        <v>649</v>
      </c>
      <c r="J93" s="7" t="s">
        <v>650</v>
      </c>
      <c r="K93" s="7" t="s">
        <v>651</v>
      </c>
      <c r="L93" s="7" t="s">
        <v>652</v>
      </c>
      <c r="M93" s="7" t="s">
        <v>608</v>
      </c>
      <c r="N93" s="7" t="s">
        <v>653</v>
      </c>
      <c r="O93" s="7" t="s">
        <v>31</v>
      </c>
      <c r="P93" s="7">
        <v>14358231809</v>
      </c>
      <c r="Q93" s="7" t="s">
        <v>654</v>
      </c>
      <c r="S93" s="7">
        <v>50168</v>
      </c>
      <c r="T93" s="7" t="s">
        <v>33</v>
      </c>
    </row>
    <row r="94" customHeight="1" spans="1:20">
      <c r="A94" s="7" t="s">
        <v>647</v>
      </c>
      <c r="B94" s="11">
        <v>46174</v>
      </c>
      <c r="C94" s="12" t="str">
        <f>HYPERLINK("https://drive.google.com/drive/folders/1TnKBA0tc_aFY939Zq7yofzkS46LsF8Cm?usp=sharing","https://drive.google.com/drive/folders/1TnKBA0tc_aFY939Zq7yofzkS46LsF8Cm?usp=sharing")</f>
        <v>https://drive.google.com/drive/folders/1TnKBA0tc_aFY939Zq7yofzkS46LsF8Cm?usp=sharing</v>
      </c>
      <c r="D94" s="7" t="s">
        <v>656</v>
      </c>
      <c r="E94" s="7" t="s">
        <v>212</v>
      </c>
      <c r="G94" s="8">
        <v>1</v>
      </c>
      <c r="H94" s="7" t="s">
        <v>657</v>
      </c>
      <c r="I94" s="7" t="s">
        <v>649</v>
      </c>
      <c r="J94" s="7" t="s">
        <v>650</v>
      </c>
      <c r="K94" s="7" t="s">
        <v>651</v>
      </c>
      <c r="L94" s="7" t="s">
        <v>652</v>
      </c>
      <c r="M94" s="7" t="s">
        <v>608</v>
      </c>
      <c r="N94" s="7" t="s">
        <v>653</v>
      </c>
      <c r="O94" s="7" t="s">
        <v>31</v>
      </c>
      <c r="P94" s="7">
        <v>14358231809</v>
      </c>
      <c r="Q94" s="7" t="s">
        <v>654</v>
      </c>
      <c r="S94" s="7">
        <v>50169</v>
      </c>
      <c r="T94" s="7" t="s">
        <v>33</v>
      </c>
    </row>
    <row r="95" customHeight="1" spans="1:20">
      <c r="A95" s="7" t="s">
        <v>658</v>
      </c>
      <c r="B95" s="11">
        <v>46174</v>
      </c>
      <c r="C95" s="17" t="str">
        <f>HYPERLINK("https://drive.google.com/drive/folders/1DIY-HsVE1Vz5P-I44OGegHwlGD7g-GzN?usp=sharing","https://drive.google.com/drive/folders/1DIY-HsVE1Vz5P-I44OGegHwlGD7g-GzN?usp=sharing")</f>
        <v>https://drive.google.com/drive/folders/1DIY-HsVE1Vz5P-I44OGegHwlGD7g-GzN?usp=sharing</v>
      </c>
      <c r="D95" s="7" t="s">
        <v>659</v>
      </c>
      <c r="E95" s="7" t="s">
        <v>239</v>
      </c>
      <c r="G95" s="8">
        <v>1</v>
      </c>
      <c r="I95" s="7" t="s">
        <v>660</v>
      </c>
      <c r="J95" s="7" t="s">
        <v>661</v>
      </c>
      <c r="K95" s="7" t="s">
        <v>662</v>
      </c>
      <c r="L95" s="7" t="s">
        <v>663</v>
      </c>
      <c r="N95" s="7" t="s">
        <v>664</v>
      </c>
      <c r="O95" s="7" t="s">
        <v>665</v>
      </c>
      <c r="P95" s="7">
        <v>33784488199</v>
      </c>
      <c r="Q95" s="7" t="s">
        <v>666</v>
      </c>
      <c r="R95" s="7" t="s">
        <v>667</v>
      </c>
      <c r="S95" s="7">
        <v>50179</v>
      </c>
      <c r="T95" s="7" t="s">
        <v>33</v>
      </c>
    </row>
    <row r="96" customHeight="1" spans="1:20">
      <c r="A96" s="7" t="s">
        <v>668</v>
      </c>
      <c r="B96" s="11">
        <v>46174</v>
      </c>
      <c r="C96" s="12" t="str">
        <f>HYPERLINK("https://drive.google.com/drive/folders/16lyKw4pHMueF7Pde-yZ7opqnf7z6xapH?usp=sharing","https://drive.google.com/drive/folders/16lyKw4pHMueF7Pde-yZ7opqnf7z6xapH?usp=sharing")</f>
        <v>https://drive.google.com/drive/folders/16lyKw4pHMueF7Pde-yZ7opqnf7z6xapH?usp=sharing</v>
      </c>
      <c r="D96" s="7" t="s">
        <v>669</v>
      </c>
      <c r="E96" s="7" t="s">
        <v>168</v>
      </c>
      <c r="G96" s="8">
        <v>1</v>
      </c>
      <c r="H96" s="7" t="s">
        <v>533</v>
      </c>
      <c r="I96" s="7" t="s">
        <v>670</v>
      </c>
      <c r="J96" s="7" t="s">
        <v>671</v>
      </c>
      <c r="K96" s="7" t="s">
        <v>672</v>
      </c>
      <c r="L96" s="7" t="s">
        <v>673</v>
      </c>
      <c r="M96" s="7" t="s">
        <v>64</v>
      </c>
      <c r="N96" s="7" t="s">
        <v>674</v>
      </c>
      <c r="O96" s="7" t="s">
        <v>31</v>
      </c>
      <c r="P96" s="7">
        <v>18583357042</v>
      </c>
      <c r="Q96" s="7" t="s">
        <v>675</v>
      </c>
      <c r="S96" s="7">
        <v>50191</v>
      </c>
      <c r="T96" s="7" t="s">
        <v>33</v>
      </c>
    </row>
    <row r="97" customHeight="1" spans="1:20">
      <c r="A97" s="7" t="s">
        <v>668</v>
      </c>
      <c r="B97" s="11">
        <v>46174</v>
      </c>
      <c r="C97" s="12" t="str">
        <f>HYPERLINK("https://drive.google.com/drive/folders/1ssTj_bivtJZqqo7ibX_z-HBseL983J2Q?usp=sharing","https://drive.google.com/drive/folders/1ssTj_bivtJZqqo7ibX_z-HBseL983J2Q?usp=sharing")</f>
        <v>https://drive.google.com/drive/folders/1ssTj_bivtJZqqo7ibX_z-HBseL983J2Q?usp=sharing</v>
      </c>
      <c r="D97" s="7" t="s">
        <v>676</v>
      </c>
      <c r="E97" s="7" t="s">
        <v>168</v>
      </c>
      <c r="G97" s="8">
        <v>1</v>
      </c>
      <c r="H97" s="7" t="s">
        <v>316</v>
      </c>
      <c r="I97" s="7" t="s">
        <v>670</v>
      </c>
      <c r="J97" s="7" t="s">
        <v>671</v>
      </c>
      <c r="K97" s="7" t="s">
        <v>672</v>
      </c>
      <c r="L97" s="7" t="s">
        <v>673</v>
      </c>
      <c r="M97" s="7" t="s">
        <v>64</v>
      </c>
      <c r="N97" s="7" t="s">
        <v>674</v>
      </c>
      <c r="O97" s="7" t="s">
        <v>31</v>
      </c>
      <c r="P97" s="7">
        <v>18583357042</v>
      </c>
      <c r="Q97" s="7" t="s">
        <v>675</v>
      </c>
      <c r="S97" s="7">
        <v>50192</v>
      </c>
      <c r="T97" s="7" t="s">
        <v>33</v>
      </c>
    </row>
    <row r="98" customHeight="1" spans="1:20">
      <c r="A98" s="7" t="s">
        <v>677</v>
      </c>
      <c r="B98" s="11">
        <v>46174</v>
      </c>
      <c r="C98" s="12" t="str">
        <f>HYPERLINK("https://drive.google.com/drive/folders/16lyKw4pHMueF7Pde-yZ7opqnf7z6xapH?usp=sharing","https://drive.google.com/drive/folders/16lyKw4pHMueF7Pde-yZ7opqnf7z6xapH?usp=sharing")</f>
        <v>https://drive.google.com/drive/folders/16lyKw4pHMueF7Pde-yZ7opqnf7z6xapH?usp=sharing</v>
      </c>
      <c r="D98" s="7" t="s">
        <v>678</v>
      </c>
      <c r="E98" s="7" t="s">
        <v>168</v>
      </c>
      <c r="G98" s="8">
        <v>1</v>
      </c>
      <c r="H98" s="7" t="s">
        <v>533</v>
      </c>
      <c r="I98" s="7" t="s">
        <v>679</v>
      </c>
      <c r="J98" s="7" t="s">
        <v>671</v>
      </c>
      <c r="K98" s="7" t="s">
        <v>672</v>
      </c>
      <c r="L98" s="7" t="s">
        <v>673</v>
      </c>
      <c r="M98" s="7" t="s">
        <v>64</v>
      </c>
      <c r="N98" s="7" t="s">
        <v>674</v>
      </c>
      <c r="O98" s="7" t="s">
        <v>31</v>
      </c>
      <c r="P98" s="7">
        <v>18583357042</v>
      </c>
      <c r="Q98" s="7" t="s">
        <v>675</v>
      </c>
      <c r="S98" s="7">
        <v>50191</v>
      </c>
      <c r="T98" s="7" t="s">
        <v>33</v>
      </c>
    </row>
    <row r="99" customHeight="1" spans="1:20">
      <c r="A99" s="7" t="s">
        <v>677</v>
      </c>
      <c r="B99" s="11">
        <v>46174</v>
      </c>
      <c r="C99" s="12" t="str">
        <f t="shared" ref="C99:C104" si="0">HYPERLINK("https://drive.google.com/drive/folders/1ssTj_bivtJZqqo7ibX_z-HBseL983J2Q?usp=sharing","https://drive.google.com/drive/folders/1ssTj_bivtJZqqo7ibX_z-HBseL983J2Q?usp=sharing")</f>
        <v>https://drive.google.com/drive/folders/1ssTj_bivtJZqqo7ibX_z-HBseL983J2Q?usp=sharing</v>
      </c>
      <c r="D99" s="7" t="s">
        <v>680</v>
      </c>
      <c r="E99" s="7" t="s">
        <v>168</v>
      </c>
      <c r="G99" s="8">
        <v>1</v>
      </c>
      <c r="H99" s="7" t="s">
        <v>316</v>
      </c>
      <c r="I99" s="7" t="s">
        <v>679</v>
      </c>
      <c r="J99" s="7" t="s">
        <v>671</v>
      </c>
      <c r="K99" s="7" t="s">
        <v>672</v>
      </c>
      <c r="L99" s="7" t="s">
        <v>673</v>
      </c>
      <c r="M99" s="7" t="s">
        <v>64</v>
      </c>
      <c r="N99" s="7" t="s">
        <v>674</v>
      </c>
      <c r="O99" s="7" t="s">
        <v>31</v>
      </c>
      <c r="P99" s="7">
        <v>18583357042</v>
      </c>
      <c r="Q99" s="7" t="s">
        <v>675</v>
      </c>
      <c r="S99" s="7">
        <v>50192</v>
      </c>
      <c r="T99" s="7" t="s">
        <v>33</v>
      </c>
    </row>
    <row r="100" customHeight="1" spans="1:20">
      <c r="A100" s="7" t="s">
        <v>681</v>
      </c>
      <c r="B100" s="11">
        <v>46174</v>
      </c>
      <c r="C100" s="12" t="str">
        <f>HYPERLINK("https://drive.google.com/drive/folders/1dCKVh35RCpaNbjf1ZcUJpB2Do7Y6w02l?usp=sharing","https://drive.google.com/drive/folders/1dCKVh35RCpaNbjf1ZcUJpB2Do7Y6w02l?usp=sharing")</f>
        <v>https://drive.google.com/drive/folders/1dCKVh35RCpaNbjf1ZcUJpB2Do7Y6w02l?usp=sharing</v>
      </c>
      <c r="D100" s="7" t="s">
        <v>682</v>
      </c>
      <c r="E100" s="7" t="s">
        <v>212</v>
      </c>
      <c r="G100" s="8">
        <v>1</v>
      </c>
      <c r="H100" s="7" t="s">
        <v>486</v>
      </c>
      <c r="I100" s="7" t="s">
        <v>683</v>
      </c>
      <c r="J100" s="7" t="s">
        <v>684</v>
      </c>
      <c r="K100" s="7" t="s">
        <v>685</v>
      </c>
      <c r="L100" s="7" t="s">
        <v>686</v>
      </c>
      <c r="M100" s="7" t="s">
        <v>64</v>
      </c>
      <c r="N100" s="7" t="s">
        <v>687</v>
      </c>
      <c r="O100" s="7" t="s">
        <v>31</v>
      </c>
      <c r="P100" s="7">
        <v>12098330288</v>
      </c>
      <c r="Q100" s="7" t="s">
        <v>688</v>
      </c>
      <c r="S100" s="7">
        <v>50199</v>
      </c>
      <c r="T100" s="7" t="s">
        <v>33</v>
      </c>
    </row>
    <row r="101" customHeight="1" spans="1:20">
      <c r="A101" s="7" t="s">
        <v>689</v>
      </c>
      <c r="B101" s="11">
        <v>46174</v>
      </c>
      <c r="C101" s="12" t="str">
        <f>HYPERLINK("https://drive.google.com/drive/folders/1xEk5MfEHrt02Tzbyg0Ih8CqnUO71rJft?usp=sharing","https://drive.google.com/drive/folders/1xEk5MfEHrt02Tzbyg0Ih8CqnUO71rJft?usp=sharing")</f>
        <v>https://drive.google.com/drive/folders/1xEk5MfEHrt02Tzbyg0Ih8CqnUO71rJft?usp=sharing</v>
      </c>
      <c r="D101" s="7" t="s">
        <v>690</v>
      </c>
      <c r="E101" s="7" t="s">
        <v>168</v>
      </c>
      <c r="G101" s="8">
        <v>1</v>
      </c>
      <c r="H101" s="7" t="s">
        <v>291</v>
      </c>
      <c r="I101" s="7" t="s">
        <v>691</v>
      </c>
      <c r="J101" s="7" t="s">
        <v>692</v>
      </c>
      <c r="K101" s="7" t="s">
        <v>693</v>
      </c>
      <c r="L101" s="7" t="s">
        <v>694</v>
      </c>
      <c r="M101" s="7" t="s">
        <v>695</v>
      </c>
      <c r="N101" s="7" t="s">
        <v>696</v>
      </c>
      <c r="O101" s="7" t="s">
        <v>31</v>
      </c>
      <c r="P101" s="7">
        <v>17152143236</v>
      </c>
      <c r="Q101" s="7" t="s">
        <v>697</v>
      </c>
      <c r="S101" s="7">
        <v>50209</v>
      </c>
      <c r="T101" s="7" t="s">
        <v>33</v>
      </c>
    </row>
    <row r="102" customHeight="1" spans="1:20">
      <c r="A102" s="7" t="s">
        <v>698</v>
      </c>
      <c r="B102" s="11">
        <v>46174</v>
      </c>
      <c r="C102" s="17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02" s="7" t="s">
        <v>699</v>
      </c>
      <c r="E102" s="7" t="s">
        <v>181</v>
      </c>
      <c r="G102" s="8">
        <v>1</v>
      </c>
      <c r="I102" s="7" t="s">
        <v>700</v>
      </c>
      <c r="J102" s="7" t="s">
        <v>701</v>
      </c>
      <c r="K102" s="7" t="s">
        <v>702</v>
      </c>
      <c r="L102" s="7" t="s">
        <v>703</v>
      </c>
      <c r="N102" s="7" t="s">
        <v>704</v>
      </c>
      <c r="O102" s="7" t="s">
        <v>665</v>
      </c>
      <c r="P102" s="7">
        <v>33670700197</v>
      </c>
      <c r="Q102" s="7" t="s">
        <v>705</v>
      </c>
      <c r="S102" s="7">
        <v>50217</v>
      </c>
      <c r="T102" s="7" t="s">
        <v>33</v>
      </c>
    </row>
    <row r="103" customHeight="1" spans="1:20">
      <c r="A103" s="7" t="s">
        <v>706</v>
      </c>
      <c r="B103" s="11">
        <v>46174</v>
      </c>
      <c r="C103" s="12" t="str">
        <f t="shared" si="0"/>
        <v>https://drive.google.com/drive/folders/1ssTj_bivtJZqqo7ibX_z-HBseL983J2Q?usp=sharing</v>
      </c>
      <c r="D103" s="7" t="s">
        <v>707</v>
      </c>
      <c r="E103" s="7" t="s">
        <v>212</v>
      </c>
      <c r="G103" s="8">
        <v>1</v>
      </c>
      <c r="H103" s="7" t="s">
        <v>316</v>
      </c>
      <c r="I103" s="7" t="s">
        <v>708</v>
      </c>
      <c r="J103" s="7" t="s">
        <v>709</v>
      </c>
      <c r="K103" s="7" t="s">
        <v>710</v>
      </c>
      <c r="L103" s="7" t="s">
        <v>711</v>
      </c>
      <c r="M103" s="7" t="s">
        <v>64</v>
      </c>
      <c r="N103" s="7" t="s">
        <v>712</v>
      </c>
      <c r="O103" s="7" t="s">
        <v>31</v>
      </c>
      <c r="P103" s="7">
        <v>15107344526</v>
      </c>
      <c r="Q103" s="7" t="s">
        <v>713</v>
      </c>
      <c r="S103" s="7">
        <v>50221</v>
      </c>
      <c r="T103" s="7" t="s">
        <v>33</v>
      </c>
    </row>
    <row r="104" customHeight="1" spans="1:20">
      <c r="A104" s="7" t="s">
        <v>714</v>
      </c>
      <c r="B104" s="11">
        <v>46174</v>
      </c>
      <c r="C104" s="12" t="str">
        <f t="shared" si="0"/>
        <v>https://drive.google.com/drive/folders/1ssTj_bivtJZqqo7ibX_z-HBseL983J2Q?usp=sharing</v>
      </c>
      <c r="D104" s="7" t="s">
        <v>715</v>
      </c>
      <c r="E104" s="7" t="s">
        <v>212</v>
      </c>
      <c r="G104" s="8">
        <v>1</v>
      </c>
      <c r="H104" s="7" t="s">
        <v>316</v>
      </c>
      <c r="I104" s="7" t="s">
        <v>716</v>
      </c>
      <c r="J104" s="7" t="s">
        <v>709</v>
      </c>
      <c r="K104" s="7" t="s">
        <v>710</v>
      </c>
      <c r="L104" s="7" t="s">
        <v>711</v>
      </c>
      <c r="M104" s="7" t="s">
        <v>64</v>
      </c>
      <c r="N104" s="7" t="s">
        <v>712</v>
      </c>
      <c r="O104" s="7" t="s">
        <v>31</v>
      </c>
      <c r="P104" s="7">
        <v>15107344526</v>
      </c>
      <c r="Q104" s="7" t="s">
        <v>713</v>
      </c>
      <c r="S104" s="7">
        <v>50221</v>
      </c>
      <c r="T104" s="7" t="s">
        <v>33</v>
      </c>
    </row>
    <row r="105" customHeight="1" spans="1:20">
      <c r="A105" s="7" t="s">
        <v>717</v>
      </c>
      <c r="B105" s="11">
        <v>46174</v>
      </c>
      <c r="C105" s="17" t="str">
        <f>HYPERLINK("https://drive.google.com/drive/folders/1liVLnh5rhevzuOojyFHx-evHkaZYlzNQ","https://drive.google.com/drive/folders/1liVLnh5rhevzuOojyFHx-evHkaZYlzNQ")</f>
        <v>https://drive.google.com/drive/folders/1liVLnh5rhevzuOojyFHx-evHkaZYlzNQ</v>
      </c>
      <c r="D105" s="7" t="s">
        <v>718</v>
      </c>
      <c r="E105" s="7" t="s">
        <v>719</v>
      </c>
      <c r="G105" s="8">
        <v>1</v>
      </c>
      <c r="I105" s="7" t="s">
        <v>720</v>
      </c>
      <c r="J105" s="7" t="s">
        <v>721</v>
      </c>
      <c r="K105" s="7" t="s">
        <v>722</v>
      </c>
      <c r="L105" s="7" t="s">
        <v>723</v>
      </c>
      <c r="N105" s="7" t="s">
        <v>724</v>
      </c>
      <c r="O105" s="7" t="s">
        <v>665</v>
      </c>
      <c r="P105" s="7">
        <v>33629436252</v>
      </c>
      <c r="Q105" s="7" t="s">
        <v>725</v>
      </c>
      <c r="S105" s="7">
        <v>50225</v>
      </c>
      <c r="T105" s="7" t="s">
        <v>33</v>
      </c>
    </row>
    <row r="106" customHeight="1" spans="1:20">
      <c r="A106" s="7" t="s">
        <v>726</v>
      </c>
      <c r="B106" s="11">
        <v>46174</v>
      </c>
      <c r="C106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106" s="7" t="s">
        <v>727</v>
      </c>
      <c r="E106" s="7" t="s">
        <v>212</v>
      </c>
      <c r="G106" s="8">
        <v>1</v>
      </c>
      <c r="I106" s="7" t="s">
        <v>728</v>
      </c>
      <c r="J106" s="7" t="s">
        <v>729</v>
      </c>
      <c r="K106" s="7" t="s">
        <v>730</v>
      </c>
      <c r="L106" s="7" t="s">
        <v>731</v>
      </c>
      <c r="M106" s="7" t="s">
        <v>418</v>
      </c>
      <c r="N106" s="7" t="s">
        <v>732</v>
      </c>
      <c r="O106" s="7" t="s">
        <v>31</v>
      </c>
      <c r="P106" s="7">
        <v>17853135146</v>
      </c>
      <c r="Q106" s="7" t="s">
        <v>733</v>
      </c>
      <c r="S106" s="7">
        <v>50229</v>
      </c>
      <c r="T106" s="7" t="s">
        <v>33</v>
      </c>
    </row>
    <row r="107" customHeight="1" spans="1:20">
      <c r="A107" s="7" t="s">
        <v>734</v>
      </c>
      <c r="B107" s="11">
        <v>46174</v>
      </c>
      <c r="C107" s="12" t="str">
        <f>HYPERLINK("https://drive.google.com/drive/folders/1oaeaJojwIwEBTSff2p51iXM6o2ypmw76?usp=sharing","https://drive.google.com/drive/folders/1oaeaJojwIwEBTSff2p51iXM6o2ypmw76?usp=sharing")</f>
        <v>https://drive.google.com/drive/folders/1oaeaJojwIwEBTSff2p51iXM6o2ypmw76?usp=sharing</v>
      </c>
      <c r="D107" s="7" t="s">
        <v>735</v>
      </c>
      <c r="E107" s="7" t="s">
        <v>168</v>
      </c>
      <c r="G107" s="8">
        <v>1</v>
      </c>
      <c r="I107" s="7" t="s">
        <v>736</v>
      </c>
      <c r="J107" s="7" t="s">
        <v>737</v>
      </c>
      <c r="K107" s="7" t="s">
        <v>738</v>
      </c>
      <c r="L107" s="7" t="s">
        <v>194</v>
      </c>
      <c r="M107" s="7" t="s">
        <v>195</v>
      </c>
      <c r="N107" s="7" t="s">
        <v>739</v>
      </c>
      <c r="O107" s="7" t="s">
        <v>31</v>
      </c>
      <c r="P107" s="7">
        <v>17023029880</v>
      </c>
      <c r="Q107" s="7" t="s">
        <v>740</v>
      </c>
      <c r="S107" s="7">
        <v>50232</v>
      </c>
      <c r="T107" s="7" t="s">
        <v>33</v>
      </c>
    </row>
    <row r="108" customHeight="1" spans="1:20">
      <c r="A108" s="7" t="s">
        <v>734</v>
      </c>
      <c r="B108" s="11">
        <v>46174</v>
      </c>
      <c r="C108" s="12" t="str">
        <f>HYPERLINK("https://drive.google.com/drive/folders/1oaeaJojwIwEBTSff2p51iXM6o2ypmw76?usp=sharing","https://drive.google.com/drive/folders/1oaeaJojwIwEBTSff2p51iXM6o2ypmw76?usp=sharing")</f>
        <v>https://drive.google.com/drive/folders/1oaeaJojwIwEBTSff2p51iXM6o2ypmw76?usp=sharing</v>
      </c>
      <c r="D108" s="7" t="s">
        <v>741</v>
      </c>
      <c r="E108" s="7" t="s">
        <v>171</v>
      </c>
      <c r="G108" s="8">
        <v>1</v>
      </c>
      <c r="I108" s="7" t="s">
        <v>736</v>
      </c>
      <c r="J108" s="7" t="s">
        <v>737</v>
      </c>
      <c r="K108" s="7" t="s">
        <v>738</v>
      </c>
      <c r="L108" s="7" t="s">
        <v>194</v>
      </c>
      <c r="M108" s="7" t="s">
        <v>195</v>
      </c>
      <c r="N108" s="7" t="s">
        <v>739</v>
      </c>
      <c r="O108" s="7" t="s">
        <v>31</v>
      </c>
      <c r="P108" s="7">
        <v>17023029880</v>
      </c>
      <c r="Q108" s="7" t="s">
        <v>740</v>
      </c>
      <c r="S108" s="7">
        <v>50233</v>
      </c>
      <c r="T108" s="7" t="s">
        <v>33</v>
      </c>
    </row>
    <row r="109" customHeight="1" spans="1:20">
      <c r="A109" s="7" t="s">
        <v>742</v>
      </c>
      <c r="B109" s="11">
        <v>46174</v>
      </c>
      <c r="C109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109" s="7" t="s">
        <v>743</v>
      </c>
      <c r="E109" s="7" t="s">
        <v>181</v>
      </c>
      <c r="G109" s="8">
        <v>1</v>
      </c>
      <c r="I109" s="7" t="s">
        <v>744</v>
      </c>
      <c r="J109" s="7" t="s">
        <v>745</v>
      </c>
      <c r="K109" s="7" t="s">
        <v>746</v>
      </c>
      <c r="L109" s="7" t="s">
        <v>747</v>
      </c>
      <c r="M109" s="7" t="s">
        <v>64</v>
      </c>
      <c r="N109" s="7" t="s">
        <v>748</v>
      </c>
      <c r="O109" s="7" t="s">
        <v>31</v>
      </c>
      <c r="P109" s="7">
        <v>18055702151</v>
      </c>
      <c r="Q109" s="7" t="s">
        <v>749</v>
      </c>
      <c r="S109" s="7">
        <v>50238</v>
      </c>
      <c r="T109" s="7" t="s">
        <v>33</v>
      </c>
    </row>
    <row r="110" customHeight="1" spans="1:20">
      <c r="A110" s="7" t="s">
        <v>750</v>
      </c>
      <c r="B110" s="11">
        <v>46174</v>
      </c>
      <c r="C110" s="12" t="str">
        <f>HYPERLINK("https://drive.google.com/drive/folders/1xXYJXSfVgY6iS5IwcTcQ8RSYR4VZztC2?usp=sharing","https://drive.google.com/drive/folders/1xXYJXSfVgY6iS5IwcTcQ8RSYR4VZztC2?usp=sharing")</f>
        <v>https://drive.google.com/drive/folders/1xXYJXSfVgY6iS5IwcTcQ8RSYR4VZztC2?usp=sharing</v>
      </c>
      <c r="D110" s="7" t="s">
        <v>751</v>
      </c>
      <c r="E110" s="7" t="s">
        <v>168</v>
      </c>
      <c r="G110" s="8">
        <v>1</v>
      </c>
      <c r="I110" s="7" t="s">
        <v>752</v>
      </c>
      <c r="J110" s="7" t="s">
        <v>753</v>
      </c>
      <c r="K110" s="7" t="s">
        <v>754</v>
      </c>
      <c r="L110" s="7" t="s">
        <v>755</v>
      </c>
      <c r="M110" s="7" t="s">
        <v>226</v>
      </c>
      <c r="N110" s="7" t="s">
        <v>756</v>
      </c>
      <c r="O110" s="7" t="s">
        <v>31</v>
      </c>
      <c r="P110" s="7">
        <v>16233361200</v>
      </c>
      <c r="Q110" s="7" t="s">
        <v>757</v>
      </c>
      <c r="S110" s="7">
        <v>50243</v>
      </c>
      <c r="T110" s="7" t="s">
        <v>33</v>
      </c>
    </row>
    <row r="111" customHeight="1" spans="1:20">
      <c r="A111" s="7" t="s">
        <v>758</v>
      </c>
      <c r="B111" s="11">
        <v>46174</v>
      </c>
      <c r="C111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11" s="7" t="s">
        <v>759</v>
      </c>
      <c r="E111" s="7" t="s">
        <v>171</v>
      </c>
      <c r="G111" s="8">
        <v>1</v>
      </c>
      <c r="I111" s="7" t="s">
        <v>760</v>
      </c>
      <c r="J111" s="7" t="s">
        <v>761</v>
      </c>
      <c r="K111" s="7" t="s">
        <v>762</v>
      </c>
      <c r="L111" s="7" t="s">
        <v>234</v>
      </c>
      <c r="M111" s="7" t="s">
        <v>64</v>
      </c>
      <c r="N111" s="7" t="s">
        <v>763</v>
      </c>
      <c r="O111" s="7" t="s">
        <v>31</v>
      </c>
      <c r="P111" s="7">
        <v>19096319543</v>
      </c>
      <c r="Q111" s="7" t="s">
        <v>764</v>
      </c>
      <c r="S111" s="7">
        <v>50245</v>
      </c>
      <c r="T111" s="7" t="s">
        <v>33</v>
      </c>
    </row>
    <row r="112" customHeight="1" spans="1:20">
      <c r="A112" s="7" t="s">
        <v>765</v>
      </c>
      <c r="B112" s="11">
        <v>46174</v>
      </c>
      <c r="C112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12" s="7" t="s">
        <v>699</v>
      </c>
      <c r="E112" s="7" t="s">
        <v>171</v>
      </c>
      <c r="G112" s="8">
        <v>1</v>
      </c>
      <c r="I112" s="7" t="s">
        <v>766</v>
      </c>
      <c r="J112" s="7" t="s">
        <v>767</v>
      </c>
      <c r="K112" s="7" t="s">
        <v>768</v>
      </c>
      <c r="L112" s="7" t="s">
        <v>769</v>
      </c>
      <c r="N112" s="7" t="s">
        <v>770</v>
      </c>
      <c r="O112" s="7" t="s">
        <v>665</v>
      </c>
      <c r="P112" s="7">
        <v>33650424250</v>
      </c>
      <c r="Q112" s="7" t="s">
        <v>771</v>
      </c>
      <c r="S112" s="7">
        <v>50249</v>
      </c>
      <c r="T112" s="7" t="s">
        <v>33</v>
      </c>
    </row>
    <row r="113" customHeight="1" spans="1:20">
      <c r="A113" s="7" t="s">
        <v>772</v>
      </c>
      <c r="B113" s="11">
        <v>46174</v>
      </c>
      <c r="C113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13" s="7" t="s">
        <v>699</v>
      </c>
      <c r="E113" s="7" t="s">
        <v>212</v>
      </c>
      <c r="G113" s="8">
        <v>1</v>
      </c>
      <c r="I113" s="7" t="s">
        <v>773</v>
      </c>
      <c r="J113" s="7" t="s">
        <v>774</v>
      </c>
      <c r="K113" s="7" t="s">
        <v>775</v>
      </c>
      <c r="L113" s="7" t="s">
        <v>776</v>
      </c>
      <c r="N113" s="7" t="s">
        <v>777</v>
      </c>
      <c r="O113" s="7" t="s">
        <v>665</v>
      </c>
      <c r="P113" s="7">
        <v>33622982273</v>
      </c>
      <c r="Q113" s="7" t="s">
        <v>778</v>
      </c>
      <c r="S113" s="7">
        <v>50260</v>
      </c>
      <c r="T113" s="7" t="s">
        <v>33</v>
      </c>
    </row>
    <row r="114" customHeight="1" spans="1:20">
      <c r="A114" s="7" t="s">
        <v>779</v>
      </c>
      <c r="B114" s="11">
        <v>46174</v>
      </c>
      <c r="C114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14" s="7" t="s">
        <v>699</v>
      </c>
      <c r="E114" s="7" t="s">
        <v>239</v>
      </c>
      <c r="G114" s="8">
        <v>1</v>
      </c>
      <c r="I114" s="7" t="s">
        <v>780</v>
      </c>
      <c r="J114" s="7" t="s">
        <v>781</v>
      </c>
      <c r="K114" s="7" t="s">
        <v>782</v>
      </c>
      <c r="L114" s="7" t="s">
        <v>783</v>
      </c>
      <c r="N114" s="7" t="s">
        <v>784</v>
      </c>
      <c r="O114" s="7" t="s">
        <v>665</v>
      </c>
      <c r="P114" s="7">
        <v>33640935619</v>
      </c>
      <c r="Q114" s="7" t="s">
        <v>785</v>
      </c>
      <c r="S114" s="7">
        <v>50257</v>
      </c>
      <c r="T114" s="7" t="s">
        <v>33</v>
      </c>
    </row>
    <row r="115" customHeight="1" spans="1:20">
      <c r="A115" s="7" t="s">
        <v>779</v>
      </c>
      <c r="B115" s="11">
        <v>46174</v>
      </c>
      <c r="C115" s="17" t="str">
        <f>HYPERLINK("https://drive.google.com/drive/folders/1d5VEmmnRgamLB2Jq0mgi0VnGSRYty9BK?usp=drive_link","https://drive.google.com/drive/folders/1d5VEmmnRgamLB2Jq0mgi0VnGSRYty9BK?usp=drive_link")</f>
        <v>https://drive.google.com/drive/folders/1d5VEmmnRgamLB2Jq0mgi0VnGSRYty9BK?usp=drive_link</v>
      </c>
      <c r="D115" s="7" t="s">
        <v>786</v>
      </c>
      <c r="E115" s="7" t="s">
        <v>239</v>
      </c>
      <c r="G115" s="8">
        <v>1</v>
      </c>
      <c r="I115" s="7" t="s">
        <v>780</v>
      </c>
      <c r="J115" s="7" t="s">
        <v>781</v>
      </c>
      <c r="K115" s="7" t="s">
        <v>782</v>
      </c>
      <c r="L115" s="7" t="s">
        <v>783</v>
      </c>
      <c r="N115" s="7" t="s">
        <v>784</v>
      </c>
      <c r="O115" s="7" t="s">
        <v>665</v>
      </c>
      <c r="P115" s="7">
        <v>33640935619</v>
      </c>
      <c r="Q115" s="7" t="s">
        <v>785</v>
      </c>
      <c r="S115" s="7">
        <v>50258</v>
      </c>
      <c r="T115" s="7" t="s">
        <v>33</v>
      </c>
    </row>
    <row r="116" customHeight="1" spans="1:20">
      <c r="A116" s="7" t="s">
        <v>787</v>
      </c>
      <c r="B116" s="11">
        <v>46174</v>
      </c>
      <c r="C116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16" s="7" t="s">
        <v>699</v>
      </c>
      <c r="E116" s="7" t="s">
        <v>212</v>
      </c>
      <c r="G116" s="8">
        <v>1</v>
      </c>
      <c r="I116" s="7" t="s">
        <v>788</v>
      </c>
      <c r="J116" s="7" t="s">
        <v>789</v>
      </c>
      <c r="K116" s="7" t="s">
        <v>790</v>
      </c>
      <c r="L116" s="7" t="s">
        <v>791</v>
      </c>
      <c r="N116" s="7" t="s">
        <v>792</v>
      </c>
      <c r="O116" s="7" t="s">
        <v>665</v>
      </c>
      <c r="P116" s="7">
        <v>33679331636</v>
      </c>
      <c r="Q116" s="7" t="s">
        <v>793</v>
      </c>
      <c r="S116" s="7">
        <v>50264</v>
      </c>
      <c r="T116" s="7" t="s">
        <v>33</v>
      </c>
    </row>
    <row r="117" customHeight="1" spans="1:20">
      <c r="A117" s="7" t="s">
        <v>794</v>
      </c>
      <c r="B117" s="11">
        <v>46174</v>
      </c>
      <c r="C117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17" s="7" t="s">
        <v>795</v>
      </c>
      <c r="E117" s="7" t="s">
        <v>171</v>
      </c>
      <c r="G117" s="8">
        <v>1</v>
      </c>
      <c r="I117" s="7" t="s">
        <v>796</v>
      </c>
      <c r="J117" s="7" t="s">
        <v>797</v>
      </c>
      <c r="K117" s="7" t="s">
        <v>798</v>
      </c>
      <c r="L117" s="7" t="s">
        <v>234</v>
      </c>
      <c r="M117" s="7" t="s">
        <v>64</v>
      </c>
      <c r="N117" s="7" t="s">
        <v>799</v>
      </c>
      <c r="O117" s="7" t="s">
        <v>31</v>
      </c>
      <c r="P117" s="7">
        <v>19493099490</v>
      </c>
      <c r="Q117" s="7" t="s">
        <v>800</v>
      </c>
      <c r="S117" s="7">
        <v>50283</v>
      </c>
      <c r="T117" s="7" t="s">
        <v>33</v>
      </c>
    </row>
    <row r="118" customHeight="1" spans="1:20">
      <c r="A118" s="7" t="s">
        <v>801</v>
      </c>
      <c r="B118" s="11">
        <v>46174</v>
      </c>
      <c r="C118" s="12" t="str">
        <f>HYPERLINK("https://drive.google.com/drive/folders/1dCKVh35RCpaNbjf1ZcUJpB2Do7Y6w02l?usp=sharing","https://drive.google.com/drive/folders/1dCKVh35RCpaNbjf1ZcUJpB2Do7Y6w02l?usp=sharing")</f>
        <v>https://drive.google.com/drive/folders/1dCKVh35RCpaNbjf1ZcUJpB2Do7Y6w02l?usp=sharing</v>
      </c>
      <c r="D118" s="7" t="s">
        <v>802</v>
      </c>
      <c r="E118" s="7" t="s">
        <v>171</v>
      </c>
      <c r="G118" s="8">
        <v>1</v>
      </c>
      <c r="H118" s="7" t="s">
        <v>486</v>
      </c>
      <c r="I118" s="7" t="s">
        <v>803</v>
      </c>
      <c r="J118" s="7" t="s">
        <v>804</v>
      </c>
      <c r="K118" s="7" t="s">
        <v>805</v>
      </c>
      <c r="L118" s="7" t="s">
        <v>806</v>
      </c>
      <c r="M118" s="7" t="s">
        <v>195</v>
      </c>
      <c r="N118" s="7" t="s">
        <v>807</v>
      </c>
      <c r="O118" s="7" t="s">
        <v>31</v>
      </c>
      <c r="P118" s="7">
        <v>17025254300</v>
      </c>
      <c r="Q118" s="7" t="s">
        <v>808</v>
      </c>
      <c r="S118" s="7">
        <v>50287</v>
      </c>
      <c r="T118" s="7" t="s">
        <v>33</v>
      </c>
    </row>
    <row r="119" customHeight="1" spans="1:20">
      <c r="A119" s="7" t="s">
        <v>801</v>
      </c>
      <c r="B119" s="11">
        <v>46174</v>
      </c>
      <c r="C119" s="12" t="str">
        <f>HYPERLINK("https://drive.google.com/drive/folders/18K_yzHGbd4B_oQxqPww53ZSmT94YywfS?usp=sharing","https://drive.google.com/drive/folders/18K_yzHGbd4B_oQxqPww53ZSmT94YywfS?usp=sharing")</f>
        <v>https://drive.google.com/drive/folders/18K_yzHGbd4B_oQxqPww53ZSmT94YywfS?usp=sharing</v>
      </c>
      <c r="D119" s="7" t="s">
        <v>809</v>
      </c>
      <c r="E119" s="7" t="s">
        <v>171</v>
      </c>
      <c r="G119" s="8">
        <v>1</v>
      </c>
      <c r="H119" s="7" t="s">
        <v>810</v>
      </c>
      <c r="I119" s="7" t="s">
        <v>803</v>
      </c>
      <c r="J119" s="7" t="s">
        <v>804</v>
      </c>
      <c r="K119" s="7" t="s">
        <v>805</v>
      </c>
      <c r="L119" s="7" t="s">
        <v>806</v>
      </c>
      <c r="M119" s="7" t="s">
        <v>195</v>
      </c>
      <c r="N119" s="7" t="s">
        <v>807</v>
      </c>
      <c r="O119" s="7" t="s">
        <v>31</v>
      </c>
      <c r="P119" s="7">
        <v>17025254300</v>
      </c>
      <c r="Q119" s="7" t="s">
        <v>808</v>
      </c>
      <c r="S119" s="7">
        <v>50288</v>
      </c>
      <c r="T119" s="7" t="s">
        <v>33</v>
      </c>
    </row>
    <row r="120" customHeight="1" spans="1:20">
      <c r="A120" s="7" t="s">
        <v>811</v>
      </c>
      <c r="B120" s="11">
        <v>46174</v>
      </c>
      <c r="C120" s="12" t="str">
        <f>HYPERLINK("https://drive.google.com/drive/folders/1dCKVh35RCpaNbjf1ZcUJpB2Do7Y6w02l?usp=sharing","https://drive.google.com/drive/folders/1dCKVh35RCpaNbjf1ZcUJpB2Do7Y6w02l?usp=sharing")</f>
        <v>https://drive.google.com/drive/folders/1dCKVh35RCpaNbjf1ZcUJpB2Do7Y6w02l?usp=sharing</v>
      </c>
      <c r="D120" s="7" t="s">
        <v>812</v>
      </c>
      <c r="E120" s="7" t="s">
        <v>168</v>
      </c>
      <c r="G120" s="8">
        <v>1</v>
      </c>
      <c r="H120" s="7" t="s">
        <v>486</v>
      </c>
      <c r="I120" s="7" t="s">
        <v>813</v>
      </c>
      <c r="J120" s="7" t="s">
        <v>814</v>
      </c>
      <c r="K120" s="7" t="s">
        <v>815</v>
      </c>
      <c r="L120" s="7" t="s">
        <v>816</v>
      </c>
      <c r="M120" s="7" t="s">
        <v>164</v>
      </c>
      <c r="N120" s="7" t="s">
        <v>817</v>
      </c>
      <c r="O120" s="7" t="s">
        <v>31</v>
      </c>
      <c r="P120" s="7">
        <v>15414973937</v>
      </c>
      <c r="Q120" s="7" t="s">
        <v>818</v>
      </c>
      <c r="S120" s="7">
        <v>50297</v>
      </c>
      <c r="T120" s="7" t="s">
        <v>33</v>
      </c>
    </row>
    <row r="121" customHeight="1" spans="1:20">
      <c r="A121" s="7" t="s">
        <v>819</v>
      </c>
      <c r="B121" s="11">
        <v>46174</v>
      </c>
      <c r="C121" s="12" t="str">
        <f>HYPERLINK("https://drive.google.com/drive/folders/1FtJ7SvJ3rxGCzMtxN_SJLm4lOEcutHq4?usp=sharing","https://drive.google.com/drive/folders/1FtJ7SvJ3rxGCzMtxN_SJLm4lOEcutHq4?usp=sharing")</f>
        <v>https://drive.google.com/drive/folders/1FtJ7SvJ3rxGCzMtxN_SJLm4lOEcutHq4?usp=sharing</v>
      </c>
      <c r="D121" s="7" t="s">
        <v>820</v>
      </c>
      <c r="E121" s="7" t="s">
        <v>239</v>
      </c>
      <c r="G121" s="8">
        <v>1</v>
      </c>
      <c r="H121" s="7" t="s">
        <v>533</v>
      </c>
      <c r="I121" s="7" t="s">
        <v>821</v>
      </c>
      <c r="J121" s="7" t="s">
        <v>822</v>
      </c>
      <c r="K121" s="7" t="s">
        <v>823</v>
      </c>
      <c r="L121" s="7" t="s">
        <v>824</v>
      </c>
      <c r="M121" s="7" t="s">
        <v>64</v>
      </c>
      <c r="N121" s="7" t="s">
        <v>825</v>
      </c>
      <c r="O121" s="7" t="s">
        <v>31</v>
      </c>
      <c r="P121" s="7">
        <v>18182859569</v>
      </c>
      <c r="Q121" s="7" t="s">
        <v>826</v>
      </c>
      <c r="S121" s="7">
        <v>50299</v>
      </c>
      <c r="T121" s="7" t="s">
        <v>33</v>
      </c>
    </row>
    <row r="122" customHeight="1" spans="1:20">
      <c r="A122" s="7" t="s">
        <v>819</v>
      </c>
      <c r="B122" s="11">
        <v>46174</v>
      </c>
      <c r="C122" s="12" t="str">
        <f>HYPERLINK("https://drive.google.com/drive/folders/1dCKVh35RCpaNbjf1ZcUJpB2Do7Y6w02l?usp=sharing","https://drive.google.com/drive/folders/1dCKVh35RCpaNbjf1ZcUJpB2Do7Y6w02l?usp=sharing")</f>
        <v>https://drive.google.com/drive/folders/1dCKVh35RCpaNbjf1ZcUJpB2Do7Y6w02l?usp=sharing</v>
      </c>
      <c r="D122" s="7" t="s">
        <v>827</v>
      </c>
      <c r="E122" s="7" t="s">
        <v>239</v>
      </c>
      <c r="G122" s="8">
        <v>1</v>
      </c>
      <c r="H122" s="7" t="s">
        <v>486</v>
      </c>
      <c r="I122" s="7" t="s">
        <v>821</v>
      </c>
      <c r="J122" s="7" t="s">
        <v>822</v>
      </c>
      <c r="K122" s="7" t="s">
        <v>823</v>
      </c>
      <c r="L122" s="7" t="s">
        <v>824</v>
      </c>
      <c r="M122" s="7" t="s">
        <v>64</v>
      </c>
      <c r="N122" s="7" t="s">
        <v>825</v>
      </c>
      <c r="O122" s="7" t="s">
        <v>31</v>
      </c>
      <c r="P122" s="7">
        <v>18182859569</v>
      </c>
      <c r="Q122" s="7" t="s">
        <v>826</v>
      </c>
      <c r="S122" s="7">
        <v>50300</v>
      </c>
      <c r="T122" s="7" t="s">
        <v>33</v>
      </c>
    </row>
    <row r="123" customHeight="1" spans="1:20">
      <c r="A123" s="7" t="s">
        <v>828</v>
      </c>
      <c r="B123" s="11">
        <v>46174</v>
      </c>
      <c r="C123" s="12" t="str">
        <f>HYPERLINK("https://drive.google.com/drive/folders/1TnKBA0tc_aFY939Zq7yofzkS46LsF8Cm?usp=sharing","https://drive.google.com/drive/folders/1TnKBA0tc_aFY939Zq7yofzkS46LsF8Cm?usp=sharing")</f>
        <v>https://drive.google.com/drive/folders/1TnKBA0tc_aFY939Zq7yofzkS46LsF8Cm?usp=sharing</v>
      </c>
      <c r="D123" s="7" t="s">
        <v>829</v>
      </c>
      <c r="E123" s="7" t="s">
        <v>239</v>
      </c>
      <c r="G123" s="8">
        <v>1</v>
      </c>
      <c r="H123" s="7" t="s">
        <v>657</v>
      </c>
      <c r="I123" s="7" t="s">
        <v>830</v>
      </c>
      <c r="J123" s="7" t="s">
        <v>831</v>
      </c>
      <c r="K123" s="7" t="s">
        <v>832</v>
      </c>
      <c r="L123" s="7" t="s">
        <v>833</v>
      </c>
      <c r="M123" s="7" t="s">
        <v>834</v>
      </c>
      <c r="N123" s="7" t="s">
        <v>835</v>
      </c>
      <c r="O123" s="7" t="s">
        <v>31</v>
      </c>
      <c r="P123" s="7">
        <v>13304174969</v>
      </c>
      <c r="Q123" s="7" t="s">
        <v>836</v>
      </c>
      <c r="S123" s="7">
        <v>50307</v>
      </c>
      <c r="T123" s="7" t="s">
        <v>33</v>
      </c>
    </row>
    <row r="124" customHeight="1" spans="1:20">
      <c r="A124" s="7" t="s">
        <v>837</v>
      </c>
      <c r="B124" s="11">
        <v>46174</v>
      </c>
      <c r="C124" s="12" t="str">
        <f>HYPERLINK("https://drive.google.com/drive/folders/1dCKVh35RCpaNbjf1ZcUJpB2Do7Y6w02l?usp=sharing","https://drive.google.com/drive/folders/1dCKVh35RCpaNbjf1ZcUJpB2Do7Y6w02l?usp=sharing")</f>
        <v>https://drive.google.com/drive/folders/1dCKVh35RCpaNbjf1ZcUJpB2Do7Y6w02l?usp=sharing</v>
      </c>
      <c r="D124" s="7" t="s">
        <v>838</v>
      </c>
      <c r="E124" s="7" t="s">
        <v>212</v>
      </c>
      <c r="G124" s="8">
        <v>1</v>
      </c>
      <c r="H124" s="7" t="s">
        <v>486</v>
      </c>
      <c r="I124" s="7" t="s">
        <v>839</v>
      </c>
      <c r="J124" s="7" t="s">
        <v>840</v>
      </c>
      <c r="K124" s="7" t="s">
        <v>841</v>
      </c>
      <c r="L124" s="7" t="s">
        <v>842</v>
      </c>
      <c r="M124" s="7" t="s">
        <v>64</v>
      </c>
      <c r="N124" s="7" t="s">
        <v>843</v>
      </c>
      <c r="O124" s="7" t="s">
        <v>31</v>
      </c>
      <c r="P124" s="7">
        <v>17029780003</v>
      </c>
      <c r="Q124" s="7" t="s">
        <v>844</v>
      </c>
      <c r="S124" s="7">
        <v>50313</v>
      </c>
      <c r="T124" s="7" t="s">
        <v>33</v>
      </c>
    </row>
    <row r="125" customHeight="1" spans="1:20">
      <c r="A125" s="7" t="s">
        <v>845</v>
      </c>
      <c r="B125" s="11">
        <v>46174</v>
      </c>
      <c r="C125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25" s="7" t="s">
        <v>846</v>
      </c>
      <c r="E125" s="7" t="s">
        <v>239</v>
      </c>
      <c r="G125" s="8">
        <v>1</v>
      </c>
      <c r="I125" s="7" t="s">
        <v>847</v>
      </c>
      <c r="J125" s="7" t="s">
        <v>848</v>
      </c>
      <c r="K125" s="7" t="s">
        <v>849</v>
      </c>
      <c r="L125" s="7" t="s">
        <v>850</v>
      </c>
      <c r="M125" s="7" t="s">
        <v>64</v>
      </c>
      <c r="N125" s="7" t="s">
        <v>851</v>
      </c>
      <c r="O125" s="7" t="s">
        <v>31</v>
      </c>
      <c r="P125" s="7">
        <v>14157065471</v>
      </c>
      <c r="Q125" s="7" t="s">
        <v>852</v>
      </c>
      <c r="S125" s="7">
        <v>50333</v>
      </c>
      <c r="T125" s="7" t="s">
        <v>33</v>
      </c>
    </row>
    <row r="126" customHeight="1" spans="1:20">
      <c r="A126" s="7" t="s">
        <v>853</v>
      </c>
      <c r="B126" s="11">
        <v>46174</v>
      </c>
      <c r="C126" s="12" t="str">
        <f>HYPERLINK("https://drive.google.com/drive/folders/1N6l_Vg_aba3EKMYkwLml7Gc8qOUbxjg6?usp=sharing","https://drive.google.com/drive/folders/1N6l_Vg_aba3EKMYkwLml7Gc8qOUbxjg6?usp=sharing")</f>
        <v>https://drive.google.com/drive/folders/1N6l_Vg_aba3EKMYkwLml7Gc8qOUbxjg6?usp=sharing</v>
      </c>
      <c r="D126" s="7" t="s">
        <v>854</v>
      </c>
      <c r="E126" s="7" t="s">
        <v>168</v>
      </c>
      <c r="G126" s="8">
        <v>1</v>
      </c>
      <c r="I126" s="7" t="s">
        <v>855</v>
      </c>
      <c r="J126" s="7" t="s">
        <v>856</v>
      </c>
      <c r="K126" s="7" t="s">
        <v>857</v>
      </c>
      <c r="L126" s="7" t="s">
        <v>858</v>
      </c>
      <c r="M126" s="7" t="s">
        <v>418</v>
      </c>
      <c r="N126" s="7" t="s">
        <v>859</v>
      </c>
      <c r="O126" s="7" t="s">
        <v>31</v>
      </c>
      <c r="P126" s="7">
        <v>19702600841</v>
      </c>
      <c r="Q126" s="7" t="s">
        <v>860</v>
      </c>
      <c r="S126" s="7">
        <v>50335</v>
      </c>
      <c r="T126" s="7" t="s">
        <v>33</v>
      </c>
    </row>
    <row r="127" customHeight="1" spans="1:20">
      <c r="A127" s="7" t="s">
        <v>861</v>
      </c>
      <c r="B127" s="11">
        <v>46174</v>
      </c>
      <c r="C127" s="12" t="str">
        <f>HYPERLINK("https://drive.google.com/drive/folders/1ZkvdLQjtiFWV4aXWAxjDEiC8PYmxXUop?usp=sharing","https://drive.google.com/drive/folders/1ZkvdLQjtiFWV4aXWAxjDEiC8PYmxXUop?usp=sharing")</f>
        <v>https://drive.google.com/drive/folders/1ZkvdLQjtiFWV4aXWAxjDEiC8PYmxXUop?usp=sharing</v>
      </c>
      <c r="D127" s="7" t="s">
        <v>862</v>
      </c>
      <c r="E127" s="7" t="s">
        <v>168</v>
      </c>
      <c r="G127" s="8">
        <v>1</v>
      </c>
      <c r="I127" s="7" t="s">
        <v>863</v>
      </c>
      <c r="J127" s="7" t="s">
        <v>864</v>
      </c>
      <c r="K127" s="7" t="s">
        <v>865</v>
      </c>
      <c r="L127" s="7" t="s">
        <v>866</v>
      </c>
      <c r="M127" s="7" t="s">
        <v>64</v>
      </c>
      <c r="N127" s="7" t="s">
        <v>867</v>
      </c>
      <c r="O127" s="7" t="s">
        <v>31</v>
      </c>
      <c r="P127" s="7">
        <v>16616079203</v>
      </c>
      <c r="Q127" s="7" t="s">
        <v>868</v>
      </c>
      <c r="S127" s="7">
        <v>50341</v>
      </c>
      <c r="T127" s="7" t="s">
        <v>33</v>
      </c>
    </row>
    <row r="128" customHeight="1" spans="1:20">
      <c r="A128" s="7" t="s">
        <v>869</v>
      </c>
      <c r="B128" s="11">
        <v>46174</v>
      </c>
      <c r="C128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28" s="7" t="s">
        <v>699</v>
      </c>
      <c r="E128" s="7" t="s">
        <v>239</v>
      </c>
      <c r="G128" s="8">
        <v>1</v>
      </c>
      <c r="I128" s="7" t="s">
        <v>870</v>
      </c>
      <c r="J128" s="7" t="s">
        <v>871</v>
      </c>
      <c r="K128" s="7" t="s">
        <v>872</v>
      </c>
      <c r="L128" s="7" t="s">
        <v>873</v>
      </c>
      <c r="N128" s="7" t="s">
        <v>874</v>
      </c>
      <c r="O128" s="7" t="s">
        <v>665</v>
      </c>
      <c r="P128" s="7">
        <v>33676309539</v>
      </c>
      <c r="Q128" s="7" t="s">
        <v>875</v>
      </c>
      <c r="S128" s="7">
        <v>50343</v>
      </c>
      <c r="T128" s="7" t="s">
        <v>33</v>
      </c>
    </row>
    <row r="129" customHeight="1" spans="1:20">
      <c r="A129" s="7" t="s">
        <v>876</v>
      </c>
      <c r="B129" s="11">
        <v>46174</v>
      </c>
      <c r="C129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29" s="7" t="s">
        <v>877</v>
      </c>
      <c r="E129" s="7" t="s">
        <v>212</v>
      </c>
      <c r="G129" s="8">
        <v>1</v>
      </c>
      <c r="I129" s="7" t="s">
        <v>878</v>
      </c>
      <c r="J129" s="7" t="s">
        <v>879</v>
      </c>
      <c r="K129" s="7" t="s">
        <v>880</v>
      </c>
      <c r="L129" s="7" t="s">
        <v>194</v>
      </c>
      <c r="M129" s="7" t="s">
        <v>195</v>
      </c>
      <c r="N129" s="7" t="s">
        <v>881</v>
      </c>
      <c r="O129" s="7" t="s">
        <v>31</v>
      </c>
      <c r="P129" s="7">
        <v>17022726514</v>
      </c>
      <c r="Q129" s="7" t="s">
        <v>882</v>
      </c>
      <c r="S129" s="7">
        <v>50346</v>
      </c>
      <c r="T129" s="7" t="s">
        <v>33</v>
      </c>
    </row>
    <row r="130" customHeight="1" spans="1:20">
      <c r="A130" s="7" t="s">
        <v>883</v>
      </c>
      <c r="B130" s="11">
        <v>46174</v>
      </c>
      <c r="C130" s="12" t="str">
        <f>HYPERLINK("https://drive.google.com/drive/folders/1xXYJXSfVgY6iS5IwcTcQ8RSYR4VZztC2?usp=sharing","https://drive.google.com/drive/folders/1xXYJXSfVgY6iS5IwcTcQ8RSYR4VZztC2?usp=sharing")</f>
        <v>https://drive.google.com/drive/folders/1xXYJXSfVgY6iS5IwcTcQ8RSYR4VZztC2?usp=sharing</v>
      </c>
      <c r="D130" s="7" t="s">
        <v>884</v>
      </c>
      <c r="E130" s="7" t="s">
        <v>168</v>
      </c>
      <c r="G130" s="8">
        <v>1</v>
      </c>
      <c r="I130" s="7" t="s">
        <v>885</v>
      </c>
      <c r="J130" s="7" t="s">
        <v>886</v>
      </c>
      <c r="K130" s="7" t="s">
        <v>887</v>
      </c>
      <c r="L130" s="7" t="s">
        <v>194</v>
      </c>
      <c r="M130" s="7" t="s">
        <v>195</v>
      </c>
      <c r="N130" s="7" t="s">
        <v>888</v>
      </c>
      <c r="O130" s="7" t="s">
        <v>31</v>
      </c>
      <c r="P130" s="7">
        <v>18018607634</v>
      </c>
      <c r="Q130" s="7" t="s">
        <v>889</v>
      </c>
      <c r="S130" s="7">
        <v>50364</v>
      </c>
      <c r="T130" s="7" t="s">
        <v>33</v>
      </c>
    </row>
    <row r="131" customHeight="1" spans="1:20">
      <c r="A131" s="7" t="s">
        <v>890</v>
      </c>
      <c r="B131" s="11">
        <v>46174</v>
      </c>
      <c r="C131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31" s="7" t="s">
        <v>699</v>
      </c>
      <c r="E131" s="7" t="s">
        <v>171</v>
      </c>
      <c r="G131" s="8">
        <v>1</v>
      </c>
      <c r="I131" s="7" t="s">
        <v>891</v>
      </c>
      <c r="J131" s="7" t="s">
        <v>892</v>
      </c>
      <c r="K131" s="7" t="s">
        <v>893</v>
      </c>
      <c r="L131" s="7" t="s">
        <v>894</v>
      </c>
      <c r="N131" s="7" t="s">
        <v>895</v>
      </c>
      <c r="O131" s="7" t="s">
        <v>665</v>
      </c>
      <c r="P131" s="7">
        <v>33661408133</v>
      </c>
      <c r="Q131" s="7" t="s">
        <v>896</v>
      </c>
      <c r="S131" s="7">
        <v>50366</v>
      </c>
      <c r="T131" s="7" t="s">
        <v>33</v>
      </c>
    </row>
    <row r="132" customHeight="1" spans="1:20">
      <c r="A132" s="7" t="s">
        <v>897</v>
      </c>
      <c r="B132" s="11">
        <v>46174</v>
      </c>
      <c r="C132" s="12" t="str">
        <f>HYPERLINK("https://drive.google.com/drive/folders/1cnXkgh5dTK0rmptMwb42LITvu8zb5HLR?usp=sharing","https://drive.google.com/drive/folders/1cnXkgh5dTK0rmptMwb42LITvu8zb5HLR?usp=sharing")</f>
        <v>https://drive.google.com/drive/folders/1cnXkgh5dTK0rmptMwb42LITvu8zb5HLR?usp=sharing</v>
      </c>
      <c r="D132" s="7" t="s">
        <v>898</v>
      </c>
      <c r="E132" s="7" t="s">
        <v>239</v>
      </c>
      <c r="G132" s="8">
        <v>1</v>
      </c>
      <c r="I132" s="7" t="s">
        <v>899</v>
      </c>
      <c r="J132" s="7" t="s">
        <v>900</v>
      </c>
      <c r="K132" s="7" t="s">
        <v>901</v>
      </c>
      <c r="L132" s="7" t="s">
        <v>902</v>
      </c>
      <c r="M132" s="7" t="s">
        <v>64</v>
      </c>
      <c r="N132" s="7" t="s">
        <v>903</v>
      </c>
      <c r="O132" s="7" t="s">
        <v>31</v>
      </c>
      <c r="P132" s="7">
        <v>19513109465</v>
      </c>
      <c r="Q132" s="7" t="s">
        <v>904</v>
      </c>
      <c r="S132" s="7">
        <v>50368</v>
      </c>
      <c r="T132" s="7" t="s">
        <v>33</v>
      </c>
    </row>
    <row r="133" customHeight="1" spans="1:20">
      <c r="A133" s="7" t="s">
        <v>897</v>
      </c>
      <c r="B133" s="11">
        <v>46174</v>
      </c>
      <c r="C133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33" s="7" t="s">
        <v>905</v>
      </c>
      <c r="G133" s="8">
        <v>1</v>
      </c>
      <c r="I133" s="7" t="s">
        <v>899</v>
      </c>
      <c r="J133" s="7" t="s">
        <v>900</v>
      </c>
      <c r="K133" s="7" t="s">
        <v>901</v>
      </c>
      <c r="L133" s="7" t="s">
        <v>902</v>
      </c>
      <c r="M133" s="7" t="s">
        <v>64</v>
      </c>
      <c r="N133" s="7" t="s">
        <v>903</v>
      </c>
      <c r="O133" s="7" t="s">
        <v>31</v>
      </c>
      <c r="P133" s="7">
        <v>19513109465</v>
      </c>
      <c r="Q133" s="7" t="s">
        <v>904</v>
      </c>
      <c r="S133" s="7">
        <v>50369</v>
      </c>
      <c r="T133" s="7" t="s">
        <v>33</v>
      </c>
    </row>
    <row r="134" customHeight="1" spans="1:20">
      <c r="A134" s="7" t="s">
        <v>906</v>
      </c>
      <c r="B134" s="11">
        <v>46174</v>
      </c>
      <c r="C134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34" s="7" t="s">
        <v>907</v>
      </c>
      <c r="E134" s="7" t="s">
        <v>171</v>
      </c>
      <c r="G134" s="8">
        <v>1</v>
      </c>
      <c r="I134" s="7" t="s">
        <v>908</v>
      </c>
      <c r="J134" s="7" t="s">
        <v>909</v>
      </c>
      <c r="K134" s="7" t="s">
        <v>910</v>
      </c>
      <c r="L134" s="7" t="s">
        <v>354</v>
      </c>
      <c r="M134" s="7" t="s">
        <v>64</v>
      </c>
      <c r="N134" s="7" t="s">
        <v>911</v>
      </c>
      <c r="O134" s="7" t="s">
        <v>31</v>
      </c>
      <c r="P134" s="7">
        <v>19494004783</v>
      </c>
      <c r="Q134" s="7" t="s">
        <v>912</v>
      </c>
      <c r="S134" s="7">
        <v>50374</v>
      </c>
      <c r="T134" s="7" t="s">
        <v>33</v>
      </c>
    </row>
    <row r="135" customHeight="1" spans="1:20">
      <c r="A135" s="7" t="s">
        <v>913</v>
      </c>
      <c r="B135" s="11">
        <v>46174</v>
      </c>
      <c r="C135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135" s="7" t="s">
        <v>914</v>
      </c>
      <c r="E135" s="7" t="s">
        <v>239</v>
      </c>
      <c r="G135" s="8">
        <v>1</v>
      </c>
      <c r="I135" s="7" t="s">
        <v>915</v>
      </c>
      <c r="J135" s="7" t="s">
        <v>916</v>
      </c>
      <c r="K135" s="7" t="s">
        <v>917</v>
      </c>
      <c r="L135" s="7" t="s">
        <v>918</v>
      </c>
      <c r="M135" s="7" t="s">
        <v>64</v>
      </c>
      <c r="N135" s="7" t="s">
        <v>919</v>
      </c>
      <c r="O135" s="7" t="s">
        <v>31</v>
      </c>
      <c r="P135" s="7">
        <v>16262428376</v>
      </c>
      <c r="Q135" s="7" t="s">
        <v>920</v>
      </c>
      <c r="S135" s="7">
        <v>50378</v>
      </c>
      <c r="T135" s="7" t="s">
        <v>33</v>
      </c>
    </row>
    <row r="136" customHeight="1" spans="1:20">
      <c r="A136" s="7" t="s">
        <v>921</v>
      </c>
      <c r="B136" s="11">
        <v>46174</v>
      </c>
      <c r="C136" s="12" t="str">
        <f>HYPERLINK("https://drive.google.com/drive/folders/1oaeaJojwIwEBTSff2p51iXM6o2ypmw76?usp=sharing","https://drive.google.com/drive/folders/1oaeaJojwIwEBTSff2p51iXM6o2ypmw76?usp=sharing")</f>
        <v>https://drive.google.com/drive/folders/1oaeaJojwIwEBTSff2p51iXM6o2ypmw76?usp=sharing</v>
      </c>
      <c r="D136" s="7" t="s">
        <v>922</v>
      </c>
      <c r="E136" s="7" t="s">
        <v>181</v>
      </c>
      <c r="G136" s="8">
        <v>1</v>
      </c>
      <c r="I136" s="7" t="s">
        <v>923</v>
      </c>
      <c r="J136" s="7" t="s">
        <v>924</v>
      </c>
      <c r="K136" s="7" t="s">
        <v>925</v>
      </c>
      <c r="L136" s="7" t="s">
        <v>926</v>
      </c>
      <c r="M136" s="7" t="s">
        <v>64</v>
      </c>
      <c r="N136" s="7" t="s">
        <v>927</v>
      </c>
      <c r="O136" s="7" t="s">
        <v>31</v>
      </c>
      <c r="P136" s="7">
        <v>17073199630</v>
      </c>
      <c r="Q136" s="7" t="s">
        <v>928</v>
      </c>
      <c r="S136" s="7">
        <v>50381</v>
      </c>
      <c r="T136" s="7" t="s">
        <v>33</v>
      </c>
    </row>
    <row r="137" customHeight="1" spans="1:20">
      <c r="A137" s="7" t="s">
        <v>921</v>
      </c>
      <c r="B137" s="11">
        <v>46174</v>
      </c>
      <c r="C137" s="12" t="str">
        <f>HYPERLINK("https://drive.google.com/drive/folders/1oaeaJojwIwEBTSff2p51iXM6o2ypmw76?usp=sharing","https://drive.google.com/drive/folders/1oaeaJojwIwEBTSff2p51iXM6o2ypmw76?usp=sharing")</f>
        <v>https://drive.google.com/drive/folders/1oaeaJojwIwEBTSff2p51iXM6o2ypmw76?usp=sharing</v>
      </c>
      <c r="D137" s="7" t="s">
        <v>929</v>
      </c>
      <c r="E137" s="7" t="s">
        <v>159</v>
      </c>
      <c r="G137" s="8">
        <v>1</v>
      </c>
      <c r="I137" s="7" t="s">
        <v>923</v>
      </c>
      <c r="J137" s="7" t="s">
        <v>924</v>
      </c>
      <c r="K137" s="7" t="s">
        <v>925</v>
      </c>
      <c r="L137" s="7" t="s">
        <v>926</v>
      </c>
      <c r="M137" s="7" t="s">
        <v>64</v>
      </c>
      <c r="N137" s="7" t="s">
        <v>927</v>
      </c>
      <c r="O137" s="7" t="s">
        <v>31</v>
      </c>
      <c r="P137" s="7">
        <v>17073199630</v>
      </c>
      <c r="Q137" s="7" t="s">
        <v>928</v>
      </c>
      <c r="S137" s="7">
        <v>50382</v>
      </c>
      <c r="T137" s="7" t="s">
        <v>33</v>
      </c>
    </row>
    <row r="138" customHeight="1" spans="1:20">
      <c r="A138" s="7" t="s">
        <v>930</v>
      </c>
      <c r="B138" s="11">
        <v>46174</v>
      </c>
      <c r="C138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38" s="7" t="s">
        <v>931</v>
      </c>
      <c r="E138" s="7" t="s">
        <v>159</v>
      </c>
      <c r="G138" s="8">
        <v>1</v>
      </c>
      <c r="I138" s="7" t="s">
        <v>932</v>
      </c>
      <c r="J138" s="7" t="s">
        <v>933</v>
      </c>
      <c r="K138" s="7" t="s">
        <v>934</v>
      </c>
      <c r="L138" s="7" t="s">
        <v>935</v>
      </c>
      <c r="M138" s="7" t="s">
        <v>64</v>
      </c>
      <c r="N138" s="7" t="s">
        <v>936</v>
      </c>
      <c r="O138" s="7" t="s">
        <v>31</v>
      </c>
      <c r="P138" s="7">
        <v>13104835855</v>
      </c>
      <c r="Q138" s="7" t="s">
        <v>937</v>
      </c>
      <c r="S138" s="7">
        <v>50391</v>
      </c>
      <c r="T138" s="7" t="s">
        <v>33</v>
      </c>
    </row>
    <row r="139" s="6" customFormat="1" customHeight="1" spans="1:20">
      <c r="A139" s="6" t="s">
        <v>938</v>
      </c>
      <c r="B139" s="14">
        <v>46174</v>
      </c>
      <c r="C139" s="15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39" s="6" t="s">
        <v>939</v>
      </c>
      <c r="E139" s="6" t="s">
        <v>171</v>
      </c>
      <c r="F139" s="6"/>
      <c r="G139" s="16">
        <v>1</v>
      </c>
      <c r="I139" s="6" t="s">
        <v>940</v>
      </c>
      <c r="J139" s="6" t="s">
        <v>941</v>
      </c>
      <c r="K139" s="6" t="s">
        <v>942</v>
      </c>
      <c r="L139" s="6" t="s">
        <v>943</v>
      </c>
      <c r="M139" s="6" t="s">
        <v>608</v>
      </c>
      <c r="N139" s="6" t="s">
        <v>944</v>
      </c>
      <c r="O139" s="6" t="s">
        <v>31</v>
      </c>
      <c r="P139" s="6">
        <v>18014621352</v>
      </c>
      <c r="Q139" s="6" t="s">
        <v>945</v>
      </c>
      <c r="S139" s="6">
        <v>50408</v>
      </c>
      <c r="T139" s="6" t="s">
        <v>33</v>
      </c>
    </row>
    <row r="140" customHeight="1" spans="1:20">
      <c r="A140" s="7" t="s">
        <v>946</v>
      </c>
      <c r="B140" s="11">
        <v>46174</v>
      </c>
      <c r="C140" s="12" t="str">
        <f>HYPERLINK("https://drive.google.com/drive/folders/1dCKVh35RCpaNbjf1ZcUJpB2Do7Y6w02l?usp=sharing","https://drive.google.com/drive/folders/1dCKVh35RCpaNbjf1ZcUJpB2Do7Y6w02l?usp=sharing")</f>
        <v>https://drive.google.com/drive/folders/1dCKVh35RCpaNbjf1ZcUJpB2Do7Y6w02l?usp=sharing</v>
      </c>
      <c r="D140" s="7" t="s">
        <v>947</v>
      </c>
      <c r="E140" s="7" t="s">
        <v>239</v>
      </c>
      <c r="G140" s="8">
        <v>1</v>
      </c>
      <c r="H140" s="7" t="s">
        <v>486</v>
      </c>
      <c r="I140" s="7" t="s">
        <v>948</v>
      </c>
      <c r="J140" s="7" t="s">
        <v>949</v>
      </c>
      <c r="K140" s="7" t="s">
        <v>950</v>
      </c>
      <c r="L140" s="7" t="s">
        <v>806</v>
      </c>
      <c r="M140" s="7" t="s">
        <v>195</v>
      </c>
      <c r="N140" s="7" t="s">
        <v>951</v>
      </c>
      <c r="O140" s="7" t="s">
        <v>31</v>
      </c>
      <c r="P140" s="7">
        <v>12152875061</v>
      </c>
      <c r="Q140" s="7" t="s">
        <v>952</v>
      </c>
      <c r="S140" s="7">
        <v>50433</v>
      </c>
      <c r="T140" s="7" t="s">
        <v>33</v>
      </c>
    </row>
    <row r="141" customHeight="1" spans="1:20">
      <c r="A141" s="7" t="s">
        <v>953</v>
      </c>
      <c r="B141" s="11">
        <v>46174</v>
      </c>
      <c r="C141" s="12" t="str">
        <f>HYPERLINK("https://drive.google.com/drive/folders/1ZkvdLQjtiFWV4aXWAxjDEiC8PYmxXUop?usp=sharing","https://drive.google.com/drive/folders/1ZkvdLQjtiFWV4aXWAxjDEiC8PYmxXUop?usp=sharing")</f>
        <v>https://drive.google.com/drive/folders/1ZkvdLQjtiFWV4aXWAxjDEiC8PYmxXUop?usp=sharing</v>
      </c>
      <c r="D141" s="7" t="s">
        <v>954</v>
      </c>
      <c r="E141" s="7" t="s">
        <v>168</v>
      </c>
      <c r="G141" s="8">
        <v>1</v>
      </c>
      <c r="I141" s="7" t="s">
        <v>955</v>
      </c>
      <c r="J141" s="7" t="s">
        <v>956</v>
      </c>
      <c r="K141" s="7" t="s">
        <v>957</v>
      </c>
      <c r="L141" s="7" t="s">
        <v>591</v>
      </c>
      <c r="M141" s="7" t="s">
        <v>64</v>
      </c>
      <c r="N141" s="7" t="s">
        <v>958</v>
      </c>
      <c r="O141" s="7" t="s">
        <v>31</v>
      </c>
      <c r="P141" s="7">
        <v>16515587756</v>
      </c>
      <c r="Q141" s="7" t="s">
        <v>959</v>
      </c>
      <c r="S141" s="7">
        <v>50437</v>
      </c>
      <c r="T141" s="7" t="s">
        <v>33</v>
      </c>
    </row>
    <row r="142" customHeight="1" spans="1:20">
      <c r="A142" s="7" t="s">
        <v>960</v>
      </c>
      <c r="B142" s="11">
        <v>46174</v>
      </c>
      <c r="C142" s="12" t="str">
        <f>HYPERLINK("https://drive.google.com/drive/folders/16W3GoBBuuoVRGigwbNdXkofQYmFuUItV?usp=sharing","https://drive.google.com/drive/folders/16W3GoBBuuoVRGigwbNdXkofQYmFuUItV?usp=sharing")</f>
        <v>https://drive.google.com/drive/folders/16W3GoBBuuoVRGigwbNdXkofQYmFuUItV?usp=sharing</v>
      </c>
      <c r="D142" s="7" t="s">
        <v>961</v>
      </c>
      <c r="E142" s="7" t="s">
        <v>962</v>
      </c>
      <c r="G142" s="8">
        <v>1</v>
      </c>
      <c r="H142" s="7" t="s">
        <v>533</v>
      </c>
      <c r="I142" s="7" t="s">
        <v>963</v>
      </c>
      <c r="J142" s="7" t="s">
        <v>964</v>
      </c>
      <c r="K142" s="7" t="s">
        <v>965</v>
      </c>
      <c r="L142" s="7" t="s">
        <v>966</v>
      </c>
      <c r="M142" s="7" t="s">
        <v>337</v>
      </c>
      <c r="N142" s="7" t="s">
        <v>967</v>
      </c>
      <c r="O142" s="7" t="s">
        <v>31</v>
      </c>
      <c r="P142" s="7">
        <v>15094918788</v>
      </c>
      <c r="Q142" s="7" t="s">
        <v>968</v>
      </c>
      <c r="S142" s="7">
        <v>50441</v>
      </c>
      <c r="T142" s="7" t="s">
        <v>33</v>
      </c>
    </row>
    <row r="143" customHeight="1" spans="1:20">
      <c r="A143" s="7" t="s">
        <v>960</v>
      </c>
      <c r="B143" s="11">
        <v>46174</v>
      </c>
      <c r="C143" s="12" t="str">
        <f>HYPERLINK("https://drive.google.com/drive/folders/1cwQ1VfXthGXnCJ_mBzNEUqL2iNCuMdUZ?usp=sharing","https://drive.google.com/drive/folders/1cwQ1VfXthGXnCJ_mBzNEUqL2iNCuMdUZ?usp=sharing")</f>
        <v>https://drive.google.com/drive/folders/1cwQ1VfXthGXnCJ_mBzNEUqL2iNCuMdUZ?usp=sharing</v>
      </c>
      <c r="D143" s="7" t="s">
        <v>969</v>
      </c>
      <c r="E143" s="7" t="s">
        <v>532</v>
      </c>
      <c r="G143" s="8">
        <v>1</v>
      </c>
      <c r="H143" s="7" t="s">
        <v>970</v>
      </c>
      <c r="I143" s="7" t="s">
        <v>963</v>
      </c>
      <c r="J143" s="7" t="s">
        <v>964</v>
      </c>
      <c r="K143" s="7" t="s">
        <v>965</v>
      </c>
      <c r="L143" s="7" t="s">
        <v>966</v>
      </c>
      <c r="M143" s="7" t="s">
        <v>337</v>
      </c>
      <c r="N143" s="7" t="s">
        <v>967</v>
      </c>
      <c r="O143" s="7" t="s">
        <v>31</v>
      </c>
      <c r="P143" s="7">
        <v>15094918788</v>
      </c>
      <c r="Q143" s="7" t="s">
        <v>968</v>
      </c>
      <c r="S143" s="7">
        <v>50442</v>
      </c>
      <c r="T143" s="7" t="s">
        <v>33</v>
      </c>
    </row>
    <row r="144" customHeight="1" spans="1:20">
      <c r="A144" s="7" t="s">
        <v>971</v>
      </c>
      <c r="B144" s="11">
        <v>46174</v>
      </c>
      <c r="C144" s="12" t="str">
        <f>HYPERLINK("https://drive.google.com/drive/folders/1N6l_Vg_aba3EKMYkwLml7Gc8qOUbxjg6?usp=sharing","https://drive.google.com/drive/folders/1N6l_Vg_aba3EKMYkwLml7Gc8qOUbxjg6?usp=sharing")</f>
        <v>https://drive.google.com/drive/folders/1N6l_Vg_aba3EKMYkwLml7Gc8qOUbxjg6?usp=sharing</v>
      </c>
      <c r="D144" s="7" t="s">
        <v>972</v>
      </c>
      <c r="E144" s="7" t="s">
        <v>181</v>
      </c>
      <c r="G144" s="8">
        <v>1</v>
      </c>
      <c r="I144" s="7" t="s">
        <v>973</v>
      </c>
      <c r="J144" s="7" t="s">
        <v>974</v>
      </c>
      <c r="K144" s="7" t="s">
        <v>975</v>
      </c>
      <c r="L144" s="7" t="s">
        <v>976</v>
      </c>
      <c r="M144" s="7" t="s">
        <v>64</v>
      </c>
      <c r="N144" s="7" t="s">
        <v>977</v>
      </c>
      <c r="O144" s="7" t="s">
        <v>31</v>
      </c>
      <c r="P144" s="7">
        <v>14088068480</v>
      </c>
      <c r="Q144" s="7" t="s">
        <v>978</v>
      </c>
      <c r="S144" s="7">
        <v>50444</v>
      </c>
      <c r="T144" s="7" t="s">
        <v>33</v>
      </c>
    </row>
    <row r="145" customHeight="1" spans="1:20">
      <c r="A145" s="7" t="s">
        <v>979</v>
      </c>
      <c r="B145" s="11">
        <v>46174</v>
      </c>
      <c r="C145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45" s="7" t="s">
        <v>980</v>
      </c>
      <c r="E145" s="7" t="s">
        <v>168</v>
      </c>
      <c r="G145" s="8">
        <v>1</v>
      </c>
      <c r="I145" s="7" t="s">
        <v>981</v>
      </c>
      <c r="J145" s="7" t="s">
        <v>982</v>
      </c>
      <c r="K145" s="7" t="s">
        <v>983</v>
      </c>
      <c r="L145" s="7" t="s">
        <v>984</v>
      </c>
      <c r="M145" s="7" t="s">
        <v>260</v>
      </c>
      <c r="N145" s="7" t="s">
        <v>985</v>
      </c>
      <c r="O145" s="7" t="s">
        <v>31</v>
      </c>
      <c r="P145" s="7">
        <v>18084972564</v>
      </c>
      <c r="Q145" s="7" t="s">
        <v>986</v>
      </c>
      <c r="S145" s="7">
        <v>50446</v>
      </c>
      <c r="T145" s="7" t="s">
        <v>33</v>
      </c>
    </row>
    <row r="146" customHeight="1" spans="1:20">
      <c r="A146" s="7" t="s">
        <v>987</v>
      </c>
      <c r="B146" s="11">
        <v>46174</v>
      </c>
      <c r="C146" s="12" t="str">
        <f>HYPERLINK("https://drive.google.com/drive/folders/1ZkvdLQjtiFWV4aXWAxjDEiC8PYmxXUop?usp=sharing","https://drive.google.com/drive/folders/1ZkvdLQjtiFWV4aXWAxjDEiC8PYmxXUop?usp=sharing")</f>
        <v>https://drive.google.com/drive/folders/1ZkvdLQjtiFWV4aXWAxjDEiC8PYmxXUop?usp=sharing</v>
      </c>
      <c r="D146" s="7" t="s">
        <v>988</v>
      </c>
      <c r="E146" s="7" t="s">
        <v>239</v>
      </c>
      <c r="G146" s="8">
        <v>1</v>
      </c>
      <c r="I146" s="7" t="s">
        <v>989</v>
      </c>
      <c r="J146" s="7" t="s">
        <v>990</v>
      </c>
      <c r="K146" s="7" t="s">
        <v>991</v>
      </c>
      <c r="L146" s="7" t="s">
        <v>992</v>
      </c>
      <c r="M146" s="7" t="s">
        <v>608</v>
      </c>
      <c r="N146" s="7" t="s">
        <v>993</v>
      </c>
      <c r="O146" s="7" t="s">
        <v>31</v>
      </c>
      <c r="P146" s="7">
        <v>13852598621</v>
      </c>
      <c r="Q146" s="7" t="s">
        <v>994</v>
      </c>
      <c r="S146" s="7">
        <v>50448</v>
      </c>
      <c r="T146" s="7" t="s">
        <v>33</v>
      </c>
    </row>
    <row r="147" customHeight="1" spans="1:20">
      <c r="A147" s="7" t="s">
        <v>995</v>
      </c>
      <c r="B147" s="11">
        <v>46174</v>
      </c>
      <c r="C147" s="12" t="str">
        <f>HYPERLINK("https://drive.google.com/drive/folders/1ZkvdLQjtiFWV4aXWAxjDEiC8PYmxXUop?usp=sharing","https://drive.google.com/drive/folders/1ZkvdLQjtiFWV4aXWAxjDEiC8PYmxXUop?usp=sharing")</f>
        <v>https://drive.google.com/drive/folders/1ZkvdLQjtiFWV4aXWAxjDEiC8PYmxXUop?usp=sharing</v>
      </c>
      <c r="D147" s="7" t="s">
        <v>996</v>
      </c>
      <c r="E147" s="7" t="s">
        <v>168</v>
      </c>
      <c r="G147" s="8">
        <v>1</v>
      </c>
      <c r="I147" s="7" t="s">
        <v>997</v>
      </c>
      <c r="J147" s="7" t="s">
        <v>998</v>
      </c>
      <c r="K147" s="7" t="s">
        <v>999</v>
      </c>
      <c r="L147" s="7" t="s">
        <v>1000</v>
      </c>
      <c r="M147" s="7" t="s">
        <v>195</v>
      </c>
      <c r="N147" s="7" t="s">
        <v>1001</v>
      </c>
      <c r="O147" s="7" t="s">
        <v>31</v>
      </c>
      <c r="P147" s="7">
        <v>17757624355</v>
      </c>
      <c r="Q147" s="7" t="s">
        <v>1002</v>
      </c>
      <c r="S147" s="7">
        <v>50452</v>
      </c>
      <c r="T147" s="7" t="s">
        <v>33</v>
      </c>
    </row>
    <row r="148" customHeight="1" spans="1:20">
      <c r="A148" s="7" t="s">
        <v>1003</v>
      </c>
      <c r="B148" s="11">
        <v>46174</v>
      </c>
      <c r="C148" s="12" t="str">
        <f>HYPERLINK("https://drive.google.com/drive/folders/1i1lrkgIUKMGnB-G41WtbGR3u_s9APEtv?usp=sharing","https://drive.google.com/drive/folders/1i1lrkgIUKMGnB-G41WtbGR3u_s9APEtv?usp=sharing")</f>
        <v>https://drive.google.com/drive/folders/1i1lrkgIUKMGnB-G41WtbGR3u_s9APEtv?usp=sharing</v>
      </c>
      <c r="D148" s="7" t="s">
        <v>1004</v>
      </c>
      <c r="E148" s="7" t="s">
        <v>168</v>
      </c>
      <c r="G148" s="8">
        <v>1</v>
      </c>
      <c r="H148" s="7" t="s">
        <v>657</v>
      </c>
      <c r="I148" s="7" t="s">
        <v>1005</v>
      </c>
      <c r="J148" s="7" t="s">
        <v>1006</v>
      </c>
      <c r="K148" s="7" t="s">
        <v>1007</v>
      </c>
      <c r="L148" s="7" t="s">
        <v>1008</v>
      </c>
      <c r="M148" s="7" t="s">
        <v>538</v>
      </c>
      <c r="N148" s="7" t="s">
        <v>1009</v>
      </c>
      <c r="O148" s="7" t="s">
        <v>31</v>
      </c>
      <c r="P148" s="7">
        <v>13366833024</v>
      </c>
      <c r="Q148" s="7" t="s">
        <v>1010</v>
      </c>
      <c r="S148" s="7">
        <v>50456</v>
      </c>
      <c r="T148" s="7" t="s">
        <v>33</v>
      </c>
    </row>
    <row r="149" customHeight="1" spans="1:20">
      <c r="A149" s="7" t="s">
        <v>1011</v>
      </c>
      <c r="B149" s="11">
        <v>46174</v>
      </c>
      <c r="C149" s="12" t="str">
        <f>HYPERLINK("https://drive.google.com/drive/folders/1zvLht99NUoiXJh-dcu8855Ydgr_qW-n2?usp=sharing","https://drive.google.com/drive/folders/1zvLht99NUoiXJh-dcu8855Ydgr_qW-n2?usp=sharing")</f>
        <v>https://drive.google.com/drive/folders/1zvLht99NUoiXJh-dcu8855Ydgr_qW-n2?usp=sharing</v>
      </c>
      <c r="D149" s="7" t="s">
        <v>1012</v>
      </c>
      <c r="E149" s="7" t="s">
        <v>168</v>
      </c>
      <c r="G149" s="8">
        <v>1</v>
      </c>
      <c r="H149" s="7" t="s">
        <v>486</v>
      </c>
      <c r="I149" s="7" t="s">
        <v>1013</v>
      </c>
      <c r="J149" s="7" t="s">
        <v>1014</v>
      </c>
      <c r="K149" s="7" t="s">
        <v>1015</v>
      </c>
      <c r="L149" s="7" t="s">
        <v>686</v>
      </c>
      <c r="M149" s="7" t="s">
        <v>64</v>
      </c>
      <c r="N149" s="7" t="s">
        <v>1016</v>
      </c>
      <c r="O149" s="7" t="s">
        <v>31</v>
      </c>
      <c r="P149" s="7">
        <v>12092774764</v>
      </c>
      <c r="Q149" s="7" t="s">
        <v>1017</v>
      </c>
      <c r="S149" s="7">
        <v>50458</v>
      </c>
      <c r="T149" s="7" t="s">
        <v>33</v>
      </c>
    </row>
    <row r="150" customHeight="1" spans="1:20">
      <c r="A150" s="7" t="s">
        <v>1018</v>
      </c>
      <c r="B150" s="11">
        <v>46174</v>
      </c>
      <c r="C150" s="12" t="str">
        <f>HYPERLINK("https://drive.google.com/drive/folders/1zvLht99NUoiXJh-dcu8855Ydgr_qW-n2?usp=sharing","https://drive.google.com/drive/folders/1zvLht99NUoiXJh-dcu8855Ydgr_qW-n2?usp=sharing")</f>
        <v>https://drive.google.com/drive/folders/1zvLht99NUoiXJh-dcu8855Ydgr_qW-n2?usp=sharing</v>
      </c>
      <c r="D150" s="7" t="s">
        <v>1019</v>
      </c>
      <c r="E150" s="7" t="s">
        <v>168</v>
      </c>
      <c r="G150" s="8">
        <v>1</v>
      </c>
      <c r="H150" s="7" t="s">
        <v>486</v>
      </c>
      <c r="I150" s="7" t="s">
        <v>1020</v>
      </c>
      <c r="J150" s="7" t="s">
        <v>1014</v>
      </c>
      <c r="K150" s="7" t="s">
        <v>1015</v>
      </c>
      <c r="L150" s="7" t="s">
        <v>686</v>
      </c>
      <c r="M150" s="7" t="s">
        <v>64</v>
      </c>
      <c r="N150" s="7" t="s">
        <v>1016</v>
      </c>
      <c r="O150" s="7" t="s">
        <v>31</v>
      </c>
      <c r="P150" s="7">
        <v>12092774764</v>
      </c>
      <c r="Q150" s="7" t="s">
        <v>1017</v>
      </c>
      <c r="S150" s="7">
        <v>50458</v>
      </c>
      <c r="T150" s="7" t="s">
        <v>33</v>
      </c>
    </row>
    <row r="151" customHeight="1" spans="1:20">
      <c r="A151" s="7" t="s">
        <v>1021</v>
      </c>
      <c r="B151" s="11">
        <v>46174</v>
      </c>
      <c r="C151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51" s="7" t="s">
        <v>1022</v>
      </c>
      <c r="E151" s="7" t="s">
        <v>212</v>
      </c>
      <c r="G151" s="8">
        <v>1</v>
      </c>
      <c r="I151" s="7" t="s">
        <v>1023</v>
      </c>
      <c r="J151" s="7" t="s">
        <v>1024</v>
      </c>
      <c r="K151" s="7" t="s">
        <v>1025</v>
      </c>
      <c r="L151" s="7" t="s">
        <v>1026</v>
      </c>
      <c r="M151" s="7" t="s">
        <v>260</v>
      </c>
      <c r="N151" s="7" t="s">
        <v>1027</v>
      </c>
      <c r="O151" s="7" t="s">
        <v>31</v>
      </c>
      <c r="P151" s="7">
        <v>18083860851</v>
      </c>
      <c r="Q151" s="7" t="s">
        <v>1028</v>
      </c>
      <c r="S151" s="7">
        <v>50460</v>
      </c>
      <c r="T151" s="7" t="s">
        <v>33</v>
      </c>
    </row>
    <row r="152" customHeight="1" spans="1:20">
      <c r="A152" s="7" t="s">
        <v>1029</v>
      </c>
      <c r="B152" s="11">
        <v>46174</v>
      </c>
      <c r="C152" s="12" t="str">
        <f>HYPERLINK("https://drive.google.com/drive/folders/1DIY-HsVE1Vz5P-I44OGegHwlGD7g-GzN?usp=sharing","https://drive.google.com/drive/folders/1DIY-HsVE1Vz5P-I44OGegHwlGD7g-GzN?usp=sharing")</f>
        <v>https://drive.google.com/drive/folders/1DIY-HsVE1Vz5P-I44OGegHwlGD7g-GzN?usp=sharing</v>
      </c>
      <c r="D152" s="7" t="s">
        <v>659</v>
      </c>
      <c r="E152" s="7" t="s">
        <v>212</v>
      </c>
      <c r="G152" s="8">
        <v>1</v>
      </c>
      <c r="I152" s="7" t="s">
        <v>1030</v>
      </c>
      <c r="J152" s="7" t="s">
        <v>1031</v>
      </c>
      <c r="K152" s="7" t="s">
        <v>1032</v>
      </c>
      <c r="L152" s="7" t="s">
        <v>1033</v>
      </c>
      <c r="N152" s="7" t="s">
        <v>1034</v>
      </c>
      <c r="O152" s="7" t="s">
        <v>665</v>
      </c>
      <c r="P152" s="7">
        <v>33631333606</v>
      </c>
      <c r="Q152" s="7" t="s">
        <v>1035</v>
      </c>
      <c r="S152" s="7">
        <v>50462</v>
      </c>
      <c r="T152" s="7" t="s">
        <v>33</v>
      </c>
    </row>
    <row r="153" customHeight="1" spans="1:20">
      <c r="A153" s="7" t="s">
        <v>1036</v>
      </c>
      <c r="B153" s="11">
        <v>46174</v>
      </c>
      <c r="C153" s="12" t="str">
        <f>HYPERLINK("https://drive.google.com/drive/folders/1DIY-HsVE1Vz5P-I44OGegHwlGD7g-GzN?usp=sharing","https://drive.google.com/drive/folders/1DIY-HsVE1Vz5P-I44OGegHwlGD7g-GzN?usp=sharing")</f>
        <v>https://drive.google.com/drive/folders/1DIY-HsVE1Vz5P-I44OGegHwlGD7g-GzN?usp=sharing</v>
      </c>
      <c r="D153" s="7" t="s">
        <v>659</v>
      </c>
      <c r="E153" s="7" t="s">
        <v>239</v>
      </c>
      <c r="G153" s="8">
        <v>1</v>
      </c>
      <c r="I153" s="7" t="s">
        <v>1037</v>
      </c>
      <c r="J153" s="7" t="s">
        <v>1038</v>
      </c>
      <c r="K153" s="7" t="s">
        <v>1039</v>
      </c>
      <c r="L153" s="7" t="s">
        <v>1040</v>
      </c>
      <c r="N153" s="7" t="s">
        <v>1041</v>
      </c>
      <c r="O153" s="7" t="s">
        <v>665</v>
      </c>
      <c r="P153" s="7">
        <v>33669005734</v>
      </c>
      <c r="Q153" s="7" t="s">
        <v>1042</v>
      </c>
      <c r="S153" s="7">
        <v>50465</v>
      </c>
      <c r="T153" s="7" t="s">
        <v>33</v>
      </c>
    </row>
    <row r="154" customHeight="1" spans="1:20">
      <c r="A154" s="7" t="s">
        <v>1043</v>
      </c>
      <c r="B154" s="11">
        <v>46174</v>
      </c>
      <c r="C154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54" s="7" t="s">
        <v>699</v>
      </c>
      <c r="E154" s="7" t="s">
        <v>212</v>
      </c>
      <c r="G154" s="8">
        <v>1</v>
      </c>
      <c r="I154" s="7" t="s">
        <v>1044</v>
      </c>
      <c r="J154" s="7" t="s">
        <v>1045</v>
      </c>
      <c r="K154" s="7" t="s">
        <v>1046</v>
      </c>
      <c r="L154" s="7" t="s">
        <v>1047</v>
      </c>
      <c r="N154" s="7" t="s">
        <v>1048</v>
      </c>
      <c r="O154" s="7" t="s">
        <v>665</v>
      </c>
      <c r="P154" s="7">
        <v>33668857243</v>
      </c>
      <c r="Q154" s="7" t="s">
        <v>1049</v>
      </c>
      <c r="S154" s="7">
        <v>50479</v>
      </c>
      <c r="T154" s="7" t="s">
        <v>33</v>
      </c>
    </row>
    <row r="155" customHeight="1" spans="1:20">
      <c r="A155" s="7" t="s">
        <v>1050</v>
      </c>
      <c r="B155" s="11">
        <v>46174</v>
      </c>
      <c r="C155" s="12" t="str">
        <f>HYPERLINK("https://drive.google.com/drive/folders/1d5VEmmnRgamLB2Jq0mgi0VnGSRYty9BK?usp=drive_link","https://drive.google.com/drive/folders/1d5VEmmnRgamLB2Jq0mgi0VnGSRYty9BK?usp=drive_link")</f>
        <v>https://drive.google.com/drive/folders/1d5VEmmnRgamLB2Jq0mgi0VnGSRYty9BK?usp=drive_link</v>
      </c>
      <c r="D155" s="7" t="s">
        <v>786</v>
      </c>
      <c r="E155" s="7" t="s">
        <v>212</v>
      </c>
      <c r="G155" s="8">
        <v>1</v>
      </c>
      <c r="I155" s="7" t="s">
        <v>1051</v>
      </c>
      <c r="J155" s="7" t="s">
        <v>1052</v>
      </c>
      <c r="K155" s="7" t="s">
        <v>1053</v>
      </c>
      <c r="L155" s="7" t="s">
        <v>1054</v>
      </c>
      <c r="N155" s="7" t="s">
        <v>1055</v>
      </c>
      <c r="O155" s="7" t="s">
        <v>665</v>
      </c>
      <c r="P155" s="7">
        <v>33629057326</v>
      </c>
      <c r="Q155" s="7" t="s">
        <v>1056</v>
      </c>
      <c r="S155" s="7">
        <v>50494</v>
      </c>
      <c r="T155" s="7" t="s">
        <v>33</v>
      </c>
    </row>
    <row r="156" customHeight="1" spans="1:20">
      <c r="A156" s="7" t="s">
        <v>1057</v>
      </c>
      <c r="B156" s="11">
        <v>46174</v>
      </c>
      <c r="C156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56" s="7" t="s">
        <v>699</v>
      </c>
      <c r="E156" s="7" t="s">
        <v>239</v>
      </c>
      <c r="G156" s="8">
        <v>1</v>
      </c>
      <c r="I156" s="7" t="s">
        <v>1058</v>
      </c>
      <c r="J156" s="7" t="s">
        <v>1059</v>
      </c>
      <c r="K156" s="7" t="s">
        <v>1060</v>
      </c>
      <c r="L156" s="7" t="s">
        <v>1061</v>
      </c>
      <c r="N156" s="7" t="s">
        <v>1062</v>
      </c>
      <c r="O156" s="7" t="s">
        <v>665</v>
      </c>
      <c r="P156" s="7">
        <v>33618512761</v>
      </c>
      <c r="Q156" s="7" t="s">
        <v>1063</v>
      </c>
      <c r="S156" s="7">
        <v>50503</v>
      </c>
      <c r="T156" s="7" t="s">
        <v>33</v>
      </c>
    </row>
    <row r="157" customHeight="1" spans="1:20">
      <c r="A157" s="7" t="s">
        <v>1064</v>
      </c>
      <c r="B157" s="11">
        <v>46174</v>
      </c>
      <c r="C157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57" s="7" t="s">
        <v>699</v>
      </c>
      <c r="E157" s="7" t="s">
        <v>239</v>
      </c>
      <c r="G157" s="8">
        <v>1</v>
      </c>
      <c r="I157" s="7" t="s">
        <v>1065</v>
      </c>
      <c r="J157" s="7" t="s">
        <v>1066</v>
      </c>
      <c r="K157" s="7" t="s">
        <v>1067</v>
      </c>
      <c r="L157" s="7" t="s">
        <v>1068</v>
      </c>
      <c r="N157" s="7" t="s">
        <v>1069</v>
      </c>
      <c r="O157" s="7" t="s">
        <v>665</v>
      </c>
      <c r="P157" s="7">
        <v>33634691337</v>
      </c>
      <c r="Q157" s="7" t="s">
        <v>1070</v>
      </c>
      <c r="S157" s="7">
        <v>50508</v>
      </c>
      <c r="T157" s="7" t="s">
        <v>33</v>
      </c>
    </row>
    <row r="158" customHeight="1" spans="1:20">
      <c r="A158" s="7" t="s">
        <v>1064</v>
      </c>
      <c r="B158" s="11">
        <v>46174</v>
      </c>
      <c r="C158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58" s="7" t="s">
        <v>699</v>
      </c>
      <c r="E158" s="7" t="s">
        <v>171</v>
      </c>
      <c r="G158" s="8">
        <v>1</v>
      </c>
      <c r="I158" s="7" t="s">
        <v>1065</v>
      </c>
      <c r="J158" s="7" t="s">
        <v>1066</v>
      </c>
      <c r="K158" s="7" t="s">
        <v>1067</v>
      </c>
      <c r="L158" s="7" t="s">
        <v>1068</v>
      </c>
      <c r="N158" s="7" t="s">
        <v>1069</v>
      </c>
      <c r="O158" s="7" t="s">
        <v>665</v>
      </c>
      <c r="P158" s="7">
        <v>33634691337</v>
      </c>
      <c r="Q158" s="7" t="s">
        <v>1070</v>
      </c>
      <c r="S158" s="7">
        <v>50509</v>
      </c>
      <c r="T158" s="7" t="s">
        <v>33</v>
      </c>
    </row>
    <row r="159" customHeight="1" spans="1:20">
      <c r="A159" s="7" t="s">
        <v>1071</v>
      </c>
      <c r="B159" s="11">
        <v>46174</v>
      </c>
      <c r="C159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59" s="7" t="s">
        <v>699</v>
      </c>
      <c r="E159" s="7" t="s">
        <v>168</v>
      </c>
      <c r="G159" s="8">
        <v>1</v>
      </c>
      <c r="I159" s="7" t="s">
        <v>1072</v>
      </c>
      <c r="J159" s="7" t="s">
        <v>1073</v>
      </c>
      <c r="K159" s="7" t="s">
        <v>1074</v>
      </c>
      <c r="L159" s="7" t="s">
        <v>1075</v>
      </c>
      <c r="N159" s="7" t="s">
        <v>1076</v>
      </c>
      <c r="O159" s="7" t="s">
        <v>665</v>
      </c>
      <c r="P159" s="7">
        <v>33659794534</v>
      </c>
      <c r="Q159" s="7" t="s">
        <v>1077</v>
      </c>
      <c r="S159" s="7">
        <v>50540</v>
      </c>
      <c r="T159" s="7" t="s">
        <v>33</v>
      </c>
    </row>
    <row r="160" customHeight="1" spans="1:20">
      <c r="A160" s="7" t="s">
        <v>1078</v>
      </c>
      <c r="B160" s="11">
        <v>46174</v>
      </c>
      <c r="C160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60" s="7" t="s">
        <v>699</v>
      </c>
      <c r="E160" s="7" t="s">
        <v>171</v>
      </c>
      <c r="G160" s="8">
        <v>1</v>
      </c>
      <c r="I160" s="7" t="s">
        <v>1079</v>
      </c>
      <c r="J160" s="7" t="s">
        <v>1080</v>
      </c>
      <c r="K160" s="7" t="s">
        <v>1081</v>
      </c>
      <c r="L160" s="7" t="s">
        <v>1082</v>
      </c>
      <c r="N160" s="7" t="s">
        <v>1083</v>
      </c>
      <c r="O160" s="7" t="s">
        <v>665</v>
      </c>
      <c r="P160" s="7">
        <v>33634032789</v>
      </c>
      <c r="Q160" s="7" t="s">
        <v>1084</v>
      </c>
      <c r="S160" s="7">
        <v>50513</v>
      </c>
      <c r="T160" s="7" t="s">
        <v>33</v>
      </c>
    </row>
    <row r="161" customHeight="1" spans="1:20">
      <c r="A161" s="7" t="s">
        <v>1085</v>
      </c>
      <c r="B161" s="11">
        <v>46174</v>
      </c>
      <c r="C161" s="17" t="str">
        <f>HYPERLINK("https://drive.google.com/drive/folders/16lsUSqSKveaV9MBCILXebNGf7szSI8p4?usp=drive_link","https://drive.google.com/drive/folders/16lsUSqSKveaV9MBCILXebNGf7szSI8p4?usp=drive_link")</f>
        <v>https://drive.google.com/drive/folders/16lsUSqSKveaV9MBCILXebNGf7szSI8p4?usp=drive_link</v>
      </c>
      <c r="D161" s="7" t="s">
        <v>718</v>
      </c>
      <c r="E161" s="7" t="s">
        <v>212</v>
      </c>
      <c r="G161" s="8">
        <v>1</v>
      </c>
      <c r="I161" s="7" t="s">
        <v>1086</v>
      </c>
      <c r="J161" s="7" t="s">
        <v>1087</v>
      </c>
      <c r="K161" s="7" t="s">
        <v>1088</v>
      </c>
      <c r="L161" s="7" t="s">
        <v>1089</v>
      </c>
      <c r="N161" s="7" t="s">
        <v>1090</v>
      </c>
      <c r="O161" s="7" t="s">
        <v>665</v>
      </c>
      <c r="P161" s="7">
        <v>33637339926</v>
      </c>
      <c r="Q161" s="7" t="s">
        <v>1091</v>
      </c>
      <c r="S161" s="7">
        <v>50515</v>
      </c>
      <c r="T161" s="7" t="s">
        <v>33</v>
      </c>
    </row>
    <row r="162" customHeight="1" spans="1:20">
      <c r="A162" s="7" t="s">
        <v>1092</v>
      </c>
      <c r="B162" s="11">
        <v>46174</v>
      </c>
      <c r="C162" s="12" t="str">
        <f t="shared" ref="C162:C168" si="1"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62" s="7" t="s">
        <v>699</v>
      </c>
      <c r="E162" s="7" t="s">
        <v>239</v>
      </c>
      <c r="G162" s="8">
        <v>1</v>
      </c>
      <c r="I162" s="7" t="s">
        <v>1093</v>
      </c>
      <c r="J162" s="7" t="s">
        <v>1094</v>
      </c>
      <c r="K162" s="7" t="s">
        <v>1095</v>
      </c>
      <c r="L162" s="7" t="s">
        <v>1096</v>
      </c>
      <c r="N162" s="7" t="s">
        <v>1097</v>
      </c>
      <c r="O162" s="7" t="s">
        <v>665</v>
      </c>
      <c r="P162" s="7">
        <v>33787355894</v>
      </c>
      <c r="Q162" s="7" t="s">
        <v>1098</v>
      </c>
      <c r="S162" s="7">
        <v>50520</v>
      </c>
      <c r="T162" s="7" t="s">
        <v>33</v>
      </c>
    </row>
    <row r="163" customHeight="1" spans="1:20">
      <c r="A163" s="7" t="s">
        <v>1099</v>
      </c>
      <c r="B163" s="11">
        <v>46174</v>
      </c>
      <c r="C163" s="12" t="str">
        <f t="shared" si="1"/>
        <v>https://drive.google.com/drive/folders/1A7SAe1krlwN9k5bUrtXLT5Z9KebGeTsI?usp=drive_link</v>
      </c>
      <c r="D163" s="7" t="s">
        <v>699</v>
      </c>
      <c r="E163" s="7" t="s">
        <v>239</v>
      </c>
      <c r="G163" s="8">
        <v>1</v>
      </c>
      <c r="I163" s="7" t="s">
        <v>1100</v>
      </c>
      <c r="J163" s="7" t="s">
        <v>1101</v>
      </c>
      <c r="K163" s="7" t="s">
        <v>1102</v>
      </c>
      <c r="L163" s="7" t="s">
        <v>1103</v>
      </c>
      <c r="N163" s="7" t="s">
        <v>1104</v>
      </c>
      <c r="O163" s="7" t="s">
        <v>665</v>
      </c>
      <c r="P163" s="7">
        <v>33663424995</v>
      </c>
      <c r="Q163" s="7" t="s">
        <v>1105</v>
      </c>
      <c r="S163" s="7">
        <v>50528</v>
      </c>
      <c r="T163" s="7" t="s">
        <v>33</v>
      </c>
    </row>
    <row r="164" customHeight="1" spans="1:20">
      <c r="A164" s="7" t="s">
        <v>1106</v>
      </c>
      <c r="B164" s="11">
        <v>46174</v>
      </c>
      <c r="C164" s="12" t="str">
        <f t="shared" si="1"/>
        <v>https://drive.google.com/drive/folders/1A7SAe1krlwN9k5bUrtXLT5Z9KebGeTsI?usp=drive_link</v>
      </c>
      <c r="D164" s="7" t="s">
        <v>699</v>
      </c>
      <c r="E164" s="7" t="s">
        <v>168</v>
      </c>
      <c r="G164" s="13">
        <v>2</v>
      </c>
      <c r="I164" s="7" t="s">
        <v>1107</v>
      </c>
      <c r="J164" s="7" t="s">
        <v>1108</v>
      </c>
      <c r="K164" s="7" t="s">
        <v>1109</v>
      </c>
      <c r="L164" s="7" t="s">
        <v>1110</v>
      </c>
      <c r="N164" s="7" t="s">
        <v>1111</v>
      </c>
      <c r="O164" s="7" t="s">
        <v>665</v>
      </c>
      <c r="P164" s="7">
        <v>33770245042</v>
      </c>
      <c r="Q164" s="7" t="s">
        <v>1112</v>
      </c>
      <c r="S164" s="7">
        <v>50532</v>
      </c>
      <c r="T164" s="7" t="s">
        <v>33</v>
      </c>
    </row>
    <row r="165" customHeight="1" spans="1:20">
      <c r="A165" s="7" t="s">
        <v>1113</v>
      </c>
      <c r="B165" s="11">
        <v>46174</v>
      </c>
      <c r="C165" s="12" t="str">
        <f t="shared" si="1"/>
        <v>https://drive.google.com/drive/folders/1A7SAe1krlwN9k5bUrtXLT5Z9KebGeTsI?usp=drive_link</v>
      </c>
      <c r="D165" s="7" t="s">
        <v>699</v>
      </c>
      <c r="E165" s="7" t="s">
        <v>181</v>
      </c>
      <c r="G165" s="8">
        <v>1</v>
      </c>
      <c r="I165" s="7" t="s">
        <v>1114</v>
      </c>
      <c r="J165" s="7" t="s">
        <v>1115</v>
      </c>
      <c r="K165" s="7" t="s">
        <v>1116</v>
      </c>
      <c r="L165" s="7" t="s">
        <v>1117</v>
      </c>
      <c r="N165" s="7" t="s">
        <v>1118</v>
      </c>
      <c r="O165" s="7" t="s">
        <v>665</v>
      </c>
      <c r="P165" s="7">
        <v>33749201869</v>
      </c>
      <c r="Q165" s="7" t="s">
        <v>1119</v>
      </c>
      <c r="S165" s="7">
        <v>50537</v>
      </c>
      <c r="T165" s="7" t="s">
        <v>33</v>
      </c>
    </row>
    <row r="166" customHeight="1" spans="1:20">
      <c r="A166" s="7" t="s">
        <v>1120</v>
      </c>
      <c r="B166" s="11">
        <v>46174</v>
      </c>
      <c r="C166" s="12" t="str">
        <f t="shared" si="1"/>
        <v>https://drive.google.com/drive/folders/1A7SAe1krlwN9k5bUrtXLT5Z9KebGeTsI?usp=drive_link</v>
      </c>
      <c r="D166" s="7" t="s">
        <v>699</v>
      </c>
      <c r="E166" s="7" t="s">
        <v>212</v>
      </c>
      <c r="G166" s="8">
        <v>1</v>
      </c>
      <c r="I166" s="7" t="s">
        <v>1121</v>
      </c>
      <c r="J166" s="7" t="s">
        <v>1122</v>
      </c>
      <c r="K166" s="7" t="s">
        <v>1123</v>
      </c>
      <c r="L166" s="7" t="s">
        <v>1124</v>
      </c>
      <c r="N166" s="7" t="s">
        <v>1125</v>
      </c>
      <c r="O166" s="7" t="s">
        <v>665</v>
      </c>
      <c r="P166" s="7">
        <v>33782738035</v>
      </c>
      <c r="Q166" s="7" t="s">
        <v>1126</v>
      </c>
      <c r="S166" s="7">
        <v>50571</v>
      </c>
      <c r="T166" s="7" t="s">
        <v>33</v>
      </c>
    </row>
    <row r="167" customHeight="1" spans="1:20">
      <c r="A167" s="7" t="s">
        <v>1127</v>
      </c>
      <c r="B167" s="11">
        <v>46174</v>
      </c>
      <c r="C167" s="12" t="str">
        <f t="shared" si="1"/>
        <v>https://drive.google.com/drive/folders/1A7SAe1krlwN9k5bUrtXLT5Z9KebGeTsI?usp=drive_link</v>
      </c>
      <c r="D167" s="7" t="s">
        <v>699</v>
      </c>
      <c r="E167" s="7" t="s">
        <v>168</v>
      </c>
      <c r="G167" s="8">
        <v>1</v>
      </c>
      <c r="I167" s="7" t="s">
        <v>1128</v>
      </c>
      <c r="J167" s="7" t="s">
        <v>1129</v>
      </c>
      <c r="K167" s="7" t="s">
        <v>1130</v>
      </c>
      <c r="L167" s="7" t="s">
        <v>1131</v>
      </c>
      <c r="N167" s="7" t="s">
        <v>1132</v>
      </c>
      <c r="O167" s="7" t="s">
        <v>665</v>
      </c>
      <c r="P167" s="7">
        <v>33983894448</v>
      </c>
      <c r="Q167" s="7" t="s">
        <v>1133</v>
      </c>
      <c r="S167" s="7">
        <v>50582</v>
      </c>
      <c r="T167" s="7" t="s">
        <v>33</v>
      </c>
    </row>
    <row r="168" customHeight="1" spans="1:20">
      <c r="A168" s="7" t="s">
        <v>1134</v>
      </c>
      <c r="B168" s="11">
        <v>46174</v>
      </c>
      <c r="C168" s="12" t="str">
        <f t="shared" si="1"/>
        <v>https://drive.google.com/drive/folders/1A7SAe1krlwN9k5bUrtXLT5Z9KebGeTsI?usp=drive_link</v>
      </c>
      <c r="D168" s="7" t="s">
        <v>699</v>
      </c>
      <c r="E168" s="7" t="s">
        <v>168</v>
      </c>
      <c r="G168" s="8">
        <v>1</v>
      </c>
      <c r="I168" s="7" t="s">
        <v>1135</v>
      </c>
      <c r="J168" s="7" t="s">
        <v>1136</v>
      </c>
      <c r="K168" s="7" t="s">
        <v>1137</v>
      </c>
      <c r="L168" s="7" t="s">
        <v>1138</v>
      </c>
      <c r="N168" s="7" t="s">
        <v>1139</v>
      </c>
      <c r="O168" s="7" t="s">
        <v>665</v>
      </c>
      <c r="P168" s="7">
        <v>33658182994</v>
      </c>
      <c r="Q168" s="7" t="s">
        <v>1140</v>
      </c>
      <c r="S168" s="7">
        <v>50604</v>
      </c>
      <c r="T168" s="7" t="s">
        <v>33</v>
      </c>
    </row>
    <row r="169" customHeight="1" spans="1:20">
      <c r="A169" s="7" t="s">
        <v>1141</v>
      </c>
      <c r="B169" s="11">
        <v>46174</v>
      </c>
      <c r="C169" s="17" t="str">
        <f>HYPERLINK("https://drive.google.com/drive/folders/1gt8T4ZnvRPN7LCVBrZZ3qIqGDXn_AzD5?usp=sharing","https://drive.google.com/drive/folders/1gt8T4ZnvRPN7LCVBrZZ3qIqGDXn_AzD5?usp=sharing")</f>
        <v>https://drive.google.com/drive/folders/1gt8T4ZnvRPN7LCVBrZZ3qIqGDXn_AzD5?usp=sharing</v>
      </c>
      <c r="D169" s="7" t="s">
        <v>1142</v>
      </c>
      <c r="E169" s="7" t="s">
        <v>168</v>
      </c>
      <c r="G169" s="8">
        <v>1</v>
      </c>
      <c r="I169" s="7" t="s">
        <v>1143</v>
      </c>
      <c r="J169" s="7" t="s">
        <v>1144</v>
      </c>
      <c r="K169" s="7" t="s">
        <v>1145</v>
      </c>
      <c r="L169" s="7" t="s">
        <v>1146</v>
      </c>
      <c r="N169" s="7" t="s">
        <v>1147</v>
      </c>
      <c r="O169" s="7" t="s">
        <v>665</v>
      </c>
      <c r="P169" s="7">
        <v>33689919139</v>
      </c>
      <c r="Q169" s="7" t="s">
        <v>1148</v>
      </c>
      <c r="S169" s="7">
        <v>50632</v>
      </c>
      <c r="T169" s="7" t="s">
        <v>33</v>
      </c>
    </row>
    <row r="170" customHeight="1" spans="1:20">
      <c r="A170" s="7" t="s">
        <v>1149</v>
      </c>
      <c r="B170" s="11">
        <v>46174</v>
      </c>
      <c r="C170" s="12" t="str">
        <f>HYPERLINK("https://drive.google.com/drive/folders/16lsUSqSKveaV9MBCILXebNGf7szSI8p4?usp=drive_link","https://drive.google.com/drive/folders/16lsUSqSKveaV9MBCILXebNGf7szSI8p4?usp=drive_link")</f>
        <v>https://drive.google.com/drive/folders/16lsUSqSKveaV9MBCILXebNGf7szSI8p4?usp=drive_link</v>
      </c>
      <c r="D170" s="7" t="s">
        <v>718</v>
      </c>
      <c r="E170" s="7" t="s">
        <v>212</v>
      </c>
      <c r="G170" s="8">
        <v>1</v>
      </c>
      <c r="I170" s="7" t="s">
        <v>1150</v>
      </c>
      <c r="J170" s="7" t="s">
        <v>1151</v>
      </c>
      <c r="K170" s="7" t="s">
        <v>1152</v>
      </c>
      <c r="L170" s="7" t="s">
        <v>1153</v>
      </c>
      <c r="N170" s="7" t="s">
        <v>1154</v>
      </c>
      <c r="O170" s="7" t="s">
        <v>665</v>
      </c>
      <c r="P170" s="7">
        <v>33666378498</v>
      </c>
      <c r="Q170" s="7" t="s">
        <v>1155</v>
      </c>
      <c r="S170" s="7">
        <v>50642</v>
      </c>
      <c r="T170" s="7" t="s">
        <v>33</v>
      </c>
    </row>
    <row r="171" customHeight="1" spans="1:20">
      <c r="A171" s="7" t="s">
        <v>1156</v>
      </c>
      <c r="B171" s="11">
        <v>46174</v>
      </c>
      <c r="C171" s="12" t="str">
        <f>HYPERLINK("https://drive.google.com/drive/folders/1ZkvdLQjtiFWV4aXWAxjDEiC8PYmxXUop?usp=sharing","https://drive.google.com/drive/folders/1ZkvdLQjtiFWV4aXWAxjDEiC8PYmxXUop?usp=sharing")</f>
        <v>https://drive.google.com/drive/folders/1ZkvdLQjtiFWV4aXWAxjDEiC8PYmxXUop?usp=sharing</v>
      </c>
      <c r="D171" s="7" t="s">
        <v>1157</v>
      </c>
      <c r="E171" s="7" t="s">
        <v>159</v>
      </c>
      <c r="G171" s="8">
        <v>1</v>
      </c>
      <c r="I171" s="7" t="s">
        <v>1158</v>
      </c>
      <c r="J171" s="7" t="s">
        <v>1159</v>
      </c>
      <c r="K171" s="7" t="s">
        <v>1160</v>
      </c>
      <c r="L171" s="7" t="s">
        <v>1161</v>
      </c>
      <c r="M171" s="7" t="s">
        <v>54</v>
      </c>
      <c r="N171" s="7" t="s">
        <v>1162</v>
      </c>
      <c r="O171" s="7" t="s">
        <v>31</v>
      </c>
      <c r="P171" s="7">
        <v>17169016045</v>
      </c>
      <c r="Q171" s="7" t="s">
        <v>1163</v>
      </c>
      <c r="S171" s="7">
        <v>50655</v>
      </c>
      <c r="T171" s="7" t="s">
        <v>33</v>
      </c>
    </row>
    <row r="172" customHeight="1" spans="1:20">
      <c r="A172" s="7" t="s">
        <v>1164</v>
      </c>
      <c r="B172" s="11">
        <v>46174</v>
      </c>
      <c r="C172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172" s="7" t="s">
        <v>1165</v>
      </c>
      <c r="E172" s="7" t="s">
        <v>168</v>
      </c>
      <c r="G172" s="8">
        <v>1</v>
      </c>
      <c r="I172" s="7" t="s">
        <v>1166</v>
      </c>
      <c r="J172" s="7" t="s">
        <v>1167</v>
      </c>
      <c r="K172" s="7" t="s">
        <v>1168</v>
      </c>
      <c r="L172" s="7" t="s">
        <v>194</v>
      </c>
      <c r="M172" s="7" t="s">
        <v>195</v>
      </c>
      <c r="N172" s="7" t="s">
        <v>1169</v>
      </c>
      <c r="O172" s="7" t="s">
        <v>31</v>
      </c>
      <c r="P172" s="7">
        <v>17028327190</v>
      </c>
      <c r="Q172" s="7" t="s">
        <v>1170</v>
      </c>
      <c r="S172" s="7">
        <v>50658</v>
      </c>
      <c r="T172" s="7" t="s">
        <v>33</v>
      </c>
    </row>
    <row r="173" customHeight="1" spans="1:20">
      <c r="A173" s="7" t="s">
        <v>1171</v>
      </c>
      <c r="B173" s="11">
        <v>46174</v>
      </c>
      <c r="C173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173" s="7" t="s">
        <v>1172</v>
      </c>
      <c r="E173" s="7" t="s">
        <v>168</v>
      </c>
      <c r="G173" s="8">
        <v>1</v>
      </c>
      <c r="I173" s="7" t="s">
        <v>1173</v>
      </c>
      <c r="J173" s="7" t="s">
        <v>1167</v>
      </c>
      <c r="K173" s="7" t="s">
        <v>1168</v>
      </c>
      <c r="L173" s="7" t="s">
        <v>194</v>
      </c>
      <c r="M173" s="7" t="s">
        <v>195</v>
      </c>
      <c r="N173" s="7" t="s">
        <v>1169</v>
      </c>
      <c r="O173" s="7" t="s">
        <v>31</v>
      </c>
      <c r="P173" s="7">
        <v>17028327190</v>
      </c>
      <c r="Q173" s="7" t="s">
        <v>1170</v>
      </c>
      <c r="S173" s="7">
        <v>50658</v>
      </c>
      <c r="T173" s="7" t="s">
        <v>33</v>
      </c>
    </row>
    <row r="174" customHeight="1" spans="1:20">
      <c r="A174" s="7" t="s">
        <v>1174</v>
      </c>
      <c r="B174" s="11">
        <v>46174</v>
      </c>
      <c r="C174" s="12" t="str">
        <f>HYPERLINK("https://drive.google.com/drive/folders/1xXYJXSfVgY6iS5IwcTcQ8RSYR4VZztC2?usp=sharing","https://drive.google.com/drive/folders/1xXYJXSfVgY6iS5IwcTcQ8RSYR4VZztC2?usp=sharing")</f>
        <v>https://drive.google.com/drive/folders/1xXYJXSfVgY6iS5IwcTcQ8RSYR4VZztC2?usp=sharing</v>
      </c>
      <c r="D174" s="7" t="s">
        <v>1175</v>
      </c>
      <c r="E174" s="7" t="s">
        <v>239</v>
      </c>
      <c r="G174" s="8">
        <v>1</v>
      </c>
      <c r="I174" s="7" t="s">
        <v>1176</v>
      </c>
      <c r="J174" s="7" t="s">
        <v>1177</v>
      </c>
      <c r="K174" s="7" t="s">
        <v>1178</v>
      </c>
      <c r="L174" s="7" t="s">
        <v>1179</v>
      </c>
      <c r="M174" s="7" t="s">
        <v>1180</v>
      </c>
      <c r="N174" s="7" t="s">
        <v>1181</v>
      </c>
      <c r="O174" s="7" t="s">
        <v>31</v>
      </c>
      <c r="P174" s="7">
        <v>13042036417</v>
      </c>
      <c r="Q174" s="7" t="s">
        <v>1182</v>
      </c>
      <c r="S174" s="7">
        <v>50680</v>
      </c>
      <c r="T174" s="7" t="s">
        <v>33</v>
      </c>
    </row>
    <row r="175" customHeight="1" spans="1:20">
      <c r="A175" s="7" t="s">
        <v>1183</v>
      </c>
      <c r="B175" s="11">
        <v>46174</v>
      </c>
      <c r="C175" s="12" t="str">
        <f t="shared" ref="C175:C180" si="2"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75" s="7" t="s">
        <v>699</v>
      </c>
      <c r="E175" s="7" t="s">
        <v>212</v>
      </c>
      <c r="G175" s="8">
        <v>1</v>
      </c>
      <c r="I175" s="7" t="s">
        <v>1184</v>
      </c>
      <c r="J175" s="7" t="s">
        <v>1185</v>
      </c>
      <c r="K175" s="7" t="s">
        <v>1186</v>
      </c>
      <c r="L175" s="7" t="s">
        <v>1187</v>
      </c>
      <c r="N175" s="7" t="s">
        <v>1188</v>
      </c>
      <c r="O175" s="7" t="s">
        <v>665</v>
      </c>
      <c r="P175" s="7">
        <v>33665427794</v>
      </c>
      <c r="Q175" s="7" t="s">
        <v>1189</v>
      </c>
      <c r="S175" s="7">
        <v>50694</v>
      </c>
      <c r="T175" s="7" t="s">
        <v>33</v>
      </c>
    </row>
    <row r="176" customHeight="1" spans="1:20">
      <c r="A176" s="7" t="s">
        <v>1183</v>
      </c>
      <c r="B176" s="11">
        <v>46174</v>
      </c>
      <c r="C176" s="12" t="str">
        <f t="shared" si="2"/>
        <v>https://drive.google.com/drive/folders/1A7SAe1krlwN9k5bUrtXLT5Z9KebGeTsI?usp=drive_link</v>
      </c>
      <c r="D176" s="7" t="s">
        <v>699</v>
      </c>
      <c r="E176" s="7" t="s">
        <v>168</v>
      </c>
      <c r="G176" s="8">
        <v>1</v>
      </c>
      <c r="I176" s="7" t="s">
        <v>1184</v>
      </c>
      <c r="J176" s="7" t="s">
        <v>1185</v>
      </c>
      <c r="K176" s="7" t="s">
        <v>1186</v>
      </c>
      <c r="L176" s="7" t="s">
        <v>1187</v>
      </c>
      <c r="N176" s="7" t="s">
        <v>1188</v>
      </c>
      <c r="O176" s="7" t="s">
        <v>665</v>
      </c>
      <c r="P176" s="7">
        <v>33665427794</v>
      </c>
      <c r="Q176" s="7" t="s">
        <v>1189</v>
      </c>
      <c r="S176" s="7">
        <v>50695</v>
      </c>
      <c r="T176" s="7" t="s">
        <v>33</v>
      </c>
    </row>
    <row r="177" customHeight="1" spans="1:20">
      <c r="A177" s="7" t="s">
        <v>1190</v>
      </c>
      <c r="B177" s="11">
        <v>46174</v>
      </c>
      <c r="C177" s="12" t="str">
        <f t="shared" si="2"/>
        <v>https://drive.google.com/drive/folders/1A7SAe1krlwN9k5bUrtXLT5Z9KebGeTsI?usp=drive_link</v>
      </c>
      <c r="D177" s="7" t="s">
        <v>699</v>
      </c>
      <c r="E177" s="7" t="s">
        <v>239</v>
      </c>
      <c r="G177" s="8">
        <v>1</v>
      </c>
      <c r="I177" s="7" t="s">
        <v>1191</v>
      </c>
      <c r="J177" s="7" t="s">
        <v>1192</v>
      </c>
      <c r="K177" s="7" t="s">
        <v>1193</v>
      </c>
      <c r="L177" s="7" t="s">
        <v>1194</v>
      </c>
      <c r="N177" s="7" t="s">
        <v>1195</v>
      </c>
      <c r="O177" s="7" t="s">
        <v>665</v>
      </c>
      <c r="P177" s="7">
        <v>33607183056</v>
      </c>
      <c r="Q177" s="7" t="s">
        <v>1196</v>
      </c>
      <c r="S177" s="7">
        <v>50697</v>
      </c>
      <c r="T177" s="7" t="s">
        <v>33</v>
      </c>
    </row>
    <row r="178" customHeight="1" spans="1:20">
      <c r="A178" s="7" t="s">
        <v>1197</v>
      </c>
      <c r="B178" s="11">
        <v>46174</v>
      </c>
      <c r="C178" s="12" t="str">
        <f t="shared" si="2"/>
        <v>https://drive.google.com/drive/folders/1A7SAe1krlwN9k5bUrtXLT5Z9KebGeTsI?usp=drive_link</v>
      </c>
      <c r="D178" s="7" t="s">
        <v>699</v>
      </c>
      <c r="E178" s="7" t="s">
        <v>239</v>
      </c>
      <c r="G178" s="8">
        <v>1</v>
      </c>
      <c r="I178" s="7" t="s">
        <v>1198</v>
      </c>
      <c r="J178" s="7" t="s">
        <v>1199</v>
      </c>
      <c r="K178" s="7" t="s">
        <v>1200</v>
      </c>
      <c r="L178" s="7" t="s">
        <v>1201</v>
      </c>
      <c r="N178" s="7" t="s">
        <v>1202</v>
      </c>
      <c r="O178" s="7" t="s">
        <v>665</v>
      </c>
      <c r="P178" s="7">
        <v>33679684510</v>
      </c>
      <c r="Q178" s="7" t="s">
        <v>1203</v>
      </c>
      <c r="S178" s="7">
        <v>50703</v>
      </c>
      <c r="T178" s="7" t="s">
        <v>33</v>
      </c>
    </row>
    <row r="179" customHeight="1" spans="1:20">
      <c r="A179" s="7" t="s">
        <v>1197</v>
      </c>
      <c r="B179" s="11">
        <v>46174</v>
      </c>
      <c r="C179" s="12" t="str">
        <f t="shared" si="2"/>
        <v>https://drive.google.com/drive/folders/1A7SAe1krlwN9k5bUrtXLT5Z9KebGeTsI?usp=drive_link</v>
      </c>
      <c r="D179" s="7" t="s">
        <v>699</v>
      </c>
      <c r="E179" s="7" t="s">
        <v>212</v>
      </c>
      <c r="G179" s="8">
        <v>1</v>
      </c>
      <c r="I179" s="7" t="s">
        <v>1198</v>
      </c>
      <c r="J179" s="7" t="s">
        <v>1199</v>
      </c>
      <c r="K179" s="7" t="s">
        <v>1200</v>
      </c>
      <c r="L179" s="7" t="s">
        <v>1201</v>
      </c>
      <c r="N179" s="7" t="s">
        <v>1202</v>
      </c>
      <c r="O179" s="7" t="s">
        <v>665</v>
      </c>
      <c r="P179" s="7">
        <v>33679684510</v>
      </c>
      <c r="Q179" s="7" t="s">
        <v>1203</v>
      </c>
      <c r="S179" s="7">
        <v>50704</v>
      </c>
      <c r="T179" s="7" t="s">
        <v>33</v>
      </c>
    </row>
    <row r="180" customHeight="1" spans="1:20">
      <c r="A180" s="7" t="s">
        <v>1197</v>
      </c>
      <c r="B180" s="11">
        <v>46174</v>
      </c>
      <c r="C180" s="12" t="str">
        <f t="shared" si="2"/>
        <v>https://drive.google.com/drive/folders/1A7SAe1krlwN9k5bUrtXLT5Z9KebGeTsI?usp=drive_link</v>
      </c>
      <c r="D180" s="7" t="s">
        <v>699</v>
      </c>
      <c r="E180" s="7" t="s">
        <v>181</v>
      </c>
      <c r="G180" s="8">
        <v>1</v>
      </c>
      <c r="I180" s="7" t="s">
        <v>1198</v>
      </c>
      <c r="J180" s="7" t="s">
        <v>1199</v>
      </c>
      <c r="K180" s="7" t="s">
        <v>1200</v>
      </c>
      <c r="L180" s="7" t="s">
        <v>1201</v>
      </c>
      <c r="N180" s="7" t="s">
        <v>1202</v>
      </c>
      <c r="O180" s="7" t="s">
        <v>665</v>
      </c>
      <c r="P180" s="7">
        <v>33679684510</v>
      </c>
      <c r="Q180" s="7" t="s">
        <v>1203</v>
      </c>
      <c r="S180" s="7">
        <v>50705</v>
      </c>
      <c r="T180" s="7" t="s">
        <v>33</v>
      </c>
    </row>
    <row r="181" customHeight="1" spans="1:20">
      <c r="A181" s="7" t="s">
        <v>1204</v>
      </c>
      <c r="B181" s="11">
        <v>46174</v>
      </c>
      <c r="C181" s="12" t="str">
        <f>HYPERLINK("https://drive.google.com/drive/folders/1DIY-HsVE1Vz5P-I44OGegHwlGD7g-GzN?usp=sharing","https://drive.google.com/drive/folders/1DIY-HsVE1Vz5P-I44OGegHwlGD7g-GzN?usp=sharing")</f>
        <v>https://drive.google.com/drive/folders/1DIY-HsVE1Vz5P-I44OGegHwlGD7g-GzN?usp=sharing</v>
      </c>
      <c r="D181" s="7" t="s">
        <v>659</v>
      </c>
      <c r="E181" s="7" t="s">
        <v>1205</v>
      </c>
      <c r="G181" s="8">
        <v>1</v>
      </c>
      <c r="I181" s="7" t="s">
        <v>1206</v>
      </c>
      <c r="J181" s="7" t="s">
        <v>1207</v>
      </c>
      <c r="K181" s="7" t="s">
        <v>1208</v>
      </c>
      <c r="L181" s="7" t="s">
        <v>1209</v>
      </c>
      <c r="N181" s="7" t="s">
        <v>1210</v>
      </c>
      <c r="O181" s="7" t="s">
        <v>665</v>
      </c>
      <c r="P181" s="7">
        <v>33637778209</v>
      </c>
      <c r="Q181" s="7" t="s">
        <v>1211</v>
      </c>
      <c r="S181" s="7">
        <v>50713</v>
      </c>
      <c r="T181" s="7" t="s">
        <v>33</v>
      </c>
    </row>
    <row r="182" customHeight="1" spans="1:20">
      <c r="A182" s="7" t="s">
        <v>1212</v>
      </c>
      <c r="B182" s="11">
        <v>46174</v>
      </c>
      <c r="C182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82" s="7" t="s">
        <v>699</v>
      </c>
      <c r="E182" s="7" t="s">
        <v>168</v>
      </c>
      <c r="G182" s="8">
        <v>1</v>
      </c>
      <c r="I182" s="7" t="s">
        <v>1213</v>
      </c>
      <c r="J182" s="7" t="s">
        <v>1214</v>
      </c>
      <c r="K182" s="7" t="s">
        <v>1215</v>
      </c>
      <c r="L182" s="7" t="s">
        <v>1216</v>
      </c>
      <c r="N182" s="7" t="s">
        <v>1217</v>
      </c>
      <c r="O182" s="7" t="s">
        <v>665</v>
      </c>
      <c r="P182" s="7">
        <v>33633800954</v>
      </c>
      <c r="Q182" s="7" t="s">
        <v>1218</v>
      </c>
      <c r="S182" s="7">
        <v>50732</v>
      </c>
      <c r="T182" s="7" t="s">
        <v>33</v>
      </c>
    </row>
    <row r="183" customHeight="1" spans="1:20">
      <c r="A183" s="7" t="s">
        <v>1219</v>
      </c>
      <c r="B183" s="11">
        <v>46174</v>
      </c>
      <c r="C183" s="12" t="str">
        <f>HYPERLINK("https://drive.google.com/drive/folders/1X-4kIZDYSYAGJtmRQYejRDkfiV1IUxRo?usp=sharing","https://drive.google.com/drive/folders/1X-4kIZDYSYAGJtmRQYejRDkfiV1IUxRo?usp=sharing")</f>
        <v>https://drive.google.com/drive/folders/1X-4kIZDYSYAGJtmRQYejRDkfiV1IUxRo?usp=sharing</v>
      </c>
      <c r="D183" s="7" t="s">
        <v>1220</v>
      </c>
      <c r="E183" s="7" t="s">
        <v>171</v>
      </c>
      <c r="G183" s="8">
        <v>1</v>
      </c>
      <c r="I183" s="7" t="s">
        <v>1221</v>
      </c>
      <c r="J183" s="7" t="s">
        <v>1222</v>
      </c>
      <c r="K183" s="7" t="s">
        <v>1223</v>
      </c>
      <c r="L183" s="7" t="s">
        <v>1224</v>
      </c>
      <c r="M183" s="7" t="s">
        <v>1225</v>
      </c>
      <c r="N183" s="7" t="s">
        <v>1226</v>
      </c>
      <c r="O183" s="7" t="s">
        <v>31</v>
      </c>
      <c r="P183" s="7">
        <v>14063904373</v>
      </c>
      <c r="Q183" s="7" t="s">
        <v>1227</v>
      </c>
      <c r="S183" s="7">
        <v>50745</v>
      </c>
      <c r="T183" s="7" t="s">
        <v>33</v>
      </c>
    </row>
    <row r="184" customHeight="1" spans="1:20">
      <c r="A184" s="7" t="s">
        <v>1228</v>
      </c>
      <c r="B184" s="11">
        <v>46174</v>
      </c>
      <c r="C184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84" s="7" t="s">
        <v>1229</v>
      </c>
      <c r="E184" s="7" t="s">
        <v>212</v>
      </c>
      <c r="G184" s="8">
        <v>1</v>
      </c>
      <c r="I184" s="7" t="s">
        <v>1230</v>
      </c>
      <c r="J184" s="7" t="s">
        <v>1231</v>
      </c>
      <c r="K184" s="7" t="s">
        <v>1232</v>
      </c>
      <c r="L184" s="7" t="s">
        <v>194</v>
      </c>
      <c r="M184" s="7" t="s">
        <v>195</v>
      </c>
      <c r="N184" s="7" t="s">
        <v>1233</v>
      </c>
      <c r="O184" s="7" t="s">
        <v>31</v>
      </c>
      <c r="P184" s="7">
        <v>17025537403</v>
      </c>
      <c r="Q184" s="7" t="s">
        <v>1234</v>
      </c>
      <c r="S184" s="7">
        <v>50764</v>
      </c>
      <c r="T184" s="7" t="s">
        <v>33</v>
      </c>
    </row>
    <row r="185" customHeight="1" spans="1:20">
      <c r="A185" s="7" t="s">
        <v>1228</v>
      </c>
      <c r="B185" s="11">
        <v>46174</v>
      </c>
      <c r="C185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185" s="7" t="s">
        <v>1235</v>
      </c>
      <c r="E185" s="7" t="s">
        <v>181</v>
      </c>
      <c r="G185" s="8">
        <v>1</v>
      </c>
      <c r="I185" s="7" t="s">
        <v>1230</v>
      </c>
      <c r="J185" s="7" t="s">
        <v>1231</v>
      </c>
      <c r="K185" s="7" t="s">
        <v>1232</v>
      </c>
      <c r="L185" s="7" t="s">
        <v>194</v>
      </c>
      <c r="M185" s="7" t="s">
        <v>195</v>
      </c>
      <c r="N185" s="7" t="s">
        <v>1233</v>
      </c>
      <c r="O185" s="7" t="s">
        <v>31</v>
      </c>
      <c r="P185" s="7">
        <v>17025537403</v>
      </c>
      <c r="Q185" s="7" t="s">
        <v>1234</v>
      </c>
      <c r="S185" s="7">
        <v>50765</v>
      </c>
      <c r="T185" s="7" t="s">
        <v>33</v>
      </c>
    </row>
    <row r="186" customHeight="1" spans="1:20">
      <c r="A186" s="7" t="s">
        <v>1236</v>
      </c>
      <c r="B186" s="11">
        <v>46174</v>
      </c>
      <c r="C186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86" s="7" t="s">
        <v>699</v>
      </c>
      <c r="E186" s="7" t="s">
        <v>239</v>
      </c>
      <c r="G186" s="8">
        <v>1</v>
      </c>
      <c r="I186" s="7" t="s">
        <v>1237</v>
      </c>
      <c r="J186" s="7" t="s">
        <v>1238</v>
      </c>
      <c r="K186" s="7" t="s">
        <v>1239</v>
      </c>
      <c r="L186" s="7" t="s">
        <v>1240</v>
      </c>
      <c r="N186" s="7" t="s">
        <v>1241</v>
      </c>
      <c r="O186" s="7" t="s">
        <v>665</v>
      </c>
      <c r="P186" s="7">
        <v>33668483303</v>
      </c>
      <c r="Q186" s="7" t="s">
        <v>1242</v>
      </c>
      <c r="S186" s="7">
        <v>50767</v>
      </c>
      <c r="T186" s="7" t="s">
        <v>33</v>
      </c>
    </row>
    <row r="187" customHeight="1" spans="1:20">
      <c r="A187" s="7" t="s">
        <v>1243</v>
      </c>
      <c r="B187" s="11">
        <v>46174</v>
      </c>
      <c r="C187" s="12" t="str">
        <f>HYPERLINK("https://drive.google.com/drive/folders/1liVLnh5rhevzuOojyFHx-evHkaZYlzNQ","https://drive.google.com/drive/folders/1liVLnh5rhevzuOojyFHx-evHkaZYlzNQ")</f>
        <v>https://drive.google.com/drive/folders/1liVLnh5rhevzuOojyFHx-evHkaZYlzNQ</v>
      </c>
      <c r="D187" s="7" t="s">
        <v>718</v>
      </c>
      <c r="E187" s="7" t="s">
        <v>168</v>
      </c>
      <c r="G187" s="8">
        <v>1</v>
      </c>
      <c r="I187" s="7" t="s">
        <v>1244</v>
      </c>
      <c r="J187" s="7" t="s">
        <v>1245</v>
      </c>
      <c r="K187" s="7" t="s">
        <v>1246</v>
      </c>
      <c r="L187" s="7" t="s">
        <v>1247</v>
      </c>
      <c r="N187" s="7" t="s">
        <v>1248</v>
      </c>
      <c r="O187" s="7" t="s">
        <v>665</v>
      </c>
      <c r="P187" s="7">
        <v>33620646016</v>
      </c>
      <c r="Q187" s="7" t="s">
        <v>1249</v>
      </c>
      <c r="S187" s="7">
        <v>50771</v>
      </c>
      <c r="T187" s="7" t="s">
        <v>33</v>
      </c>
    </row>
    <row r="188" customHeight="1" spans="1:20">
      <c r="A188" s="7" t="s">
        <v>1250</v>
      </c>
      <c r="B188" s="11">
        <v>46174</v>
      </c>
      <c r="C188" s="12" t="str">
        <f>HYPERLINK("https://drive.google.com/drive/folders/16lsUSqSKveaV9MBCILXebNGf7szSI8p4?usp=drive_link","https://drive.google.com/drive/folders/16lsUSqSKveaV9MBCILXebNGf7szSI8p4?usp=drive_link")</f>
        <v>https://drive.google.com/drive/folders/16lsUSqSKveaV9MBCILXebNGf7szSI8p4?usp=drive_link</v>
      </c>
      <c r="D188" s="7" t="s">
        <v>718</v>
      </c>
      <c r="E188" s="7" t="s">
        <v>168</v>
      </c>
      <c r="G188" s="8">
        <v>1</v>
      </c>
      <c r="I188" s="7" t="s">
        <v>1251</v>
      </c>
      <c r="J188" s="7" t="s">
        <v>1252</v>
      </c>
      <c r="K188" s="7" t="s">
        <v>1253</v>
      </c>
      <c r="L188" s="7" t="s">
        <v>1254</v>
      </c>
      <c r="N188" s="7" t="s">
        <v>1255</v>
      </c>
      <c r="O188" s="7" t="s">
        <v>665</v>
      </c>
      <c r="P188" s="7">
        <v>33761600450</v>
      </c>
      <c r="Q188" s="7" t="s">
        <v>1256</v>
      </c>
      <c r="S188" s="7">
        <v>50773</v>
      </c>
      <c r="T188" s="7" t="s">
        <v>33</v>
      </c>
    </row>
    <row r="189" customHeight="1" spans="1:20">
      <c r="A189" s="7" t="s">
        <v>1257</v>
      </c>
      <c r="B189" s="11">
        <v>46174</v>
      </c>
      <c r="C189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89" s="7" t="s">
        <v>699</v>
      </c>
      <c r="E189" s="7" t="s">
        <v>171</v>
      </c>
      <c r="G189" s="8">
        <v>1</v>
      </c>
      <c r="I189" s="7" t="s">
        <v>1258</v>
      </c>
      <c r="J189" s="7" t="s">
        <v>1259</v>
      </c>
      <c r="K189" s="7" t="s">
        <v>1260</v>
      </c>
      <c r="L189" s="7" t="s">
        <v>1261</v>
      </c>
      <c r="N189" s="7" t="s">
        <v>1262</v>
      </c>
      <c r="O189" s="7" t="s">
        <v>665</v>
      </c>
      <c r="P189" s="7">
        <v>33770367027</v>
      </c>
      <c r="Q189" s="7" t="s">
        <v>1263</v>
      </c>
      <c r="S189" s="7">
        <v>50778</v>
      </c>
      <c r="T189" s="7" t="s">
        <v>33</v>
      </c>
    </row>
    <row r="190" customHeight="1" spans="1:20">
      <c r="A190" s="7" t="s">
        <v>1264</v>
      </c>
      <c r="B190" s="11">
        <v>46174</v>
      </c>
      <c r="C190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90" s="7" t="s">
        <v>1265</v>
      </c>
      <c r="E190" s="7" t="s">
        <v>239</v>
      </c>
      <c r="G190" s="8">
        <v>1</v>
      </c>
      <c r="I190" s="7" t="s">
        <v>1266</v>
      </c>
      <c r="J190" s="7" t="s">
        <v>1267</v>
      </c>
      <c r="K190" s="7" t="s">
        <v>1268</v>
      </c>
      <c r="L190" s="7" t="s">
        <v>1269</v>
      </c>
      <c r="M190" s="7" t="s">
        <v>64</v>
      </c>
      <c r="N190" s="7" t="s">
        <v>1270</v>
      </c>
      <c r="O190" s="7" t="s">
        <v>31</v>
      </c>
      <c r="P190" s="7">
        <v>15102131104</v>
      </c>
      <c r="Q190" s="7" t="s">
        <v>1271</v>
      </c>
      <c r="S190" s="7">
        <v>50793</v>
      </c>
      <c r="T190" s="7" t="s">
        <v>33</v>
      </c>
    </row>
    <row r="191" customHeight="1" spans="1:20">
      <c r="A191" s="7" t="s">
        <v>1264</v>
      </c>
      <c r="B191" s="11">
        <v>46174</v>
      </c>
      <c r="C191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191" s="7" t="s">
        <v>1272</v>
      </c>
      <c r="E191" s="7" t="s">
        <v>239</v>
      </c>
      <c r="G191" s="8">
        <v>1</v>
      </c>
      <c r="I191" s="7" t="s">
        <v>1266</v>
      </c>
      <c r="J191" s="7" t="s">
        <v>1267</v>
      </c>
      <c r="K191" s="7" t="s">
        <v>1268</v>
      </c>
      <c r="L191" s="7" t="s">
        <v>1269</v>
      </c>
      <c r="M191" s="7" t="s">
        <v>64</v>
      </c>
      <c r="N191" s="7" t="s">
        <v>1270</v>
      </c>
      <c r="O191" s="7" t="s">
        <v>31</v>
      </c>
      <c r="P191" s="7">
        <v>15102131104</v>
      </c>
      <c r="Q191" s="7" t="s">
        <v>1271</v>
      </c>
      <c r="S191" s="7">
        <v>50794</v>
      </c>
      <c r="T191" s="7" t="s">
        <v>33</v>
      </c>
    </row>
    <row r="192" customHeight="1" spans="1:20">
      <c r="A192" s="7" t="s">
        <v>1273</v>
      </c>
      <c r="B192" s="11">
        <v>46174</v>
      </c>
      <c r="C192" s="12" t="str">
        <f>HYPERLINK("https://drive.google.com/drive/folders/1cnXkgh5dTK0rmptMwb42LITvu8zb5HLR?usp=sharing","https://drive.google.com/drive/folders/1cnXkgh5dTK0rmptMwb42LITvu8zb5HLR?usp=sharing")</f>
        <v>https://drive.google.com/drive/folders/1cnXkgh5dTK0rmptMwb42LITvu8zb5HLR?usp=sharing</v>
      </c>
      <c r="D192" s="7" t="s">
        <v>1274</v>
      </c>
      <c r="E192" s="7" t="s">
        <v>168</v>
      </c>
      <c r="G192" s="8">
        <v>1</v>
      </c>
      <c r="I192" s="7" t="s">
        <v>1275</v>
      </c>
      <c r="J192" s="7" t="s">
        <v>1276</v>
      </c>
      <c r="K192" s="7" t="s">
        <v>1277</v>
      </c>
      <c r="L192" s="7" t="s">
        <v>1278</v>
      </c>
      <c r="M192" s="7" t="s">
        <v>42</v>
      </c>
      <c r="N192" s="7" t="s">
        <v>1279</v>
      </c>
      <c r="O192" s="7" t="s">
        <v>31</v>
      </c>
      <c r="P192" s="7">
        <v>14105968810</v>
      </c>
      <c r="Q192" s="7" t="s">
        <v>1280</v>
      </c>
      <c r="S192" s="7">
        <v>50796</v>
      </c>
      <c r="T192" s="7" t="s">
        <v>33</v>
      </c>
    </row>
    <row r="193" customHeight="1" spans="1:20">
      <c r="A193" s="7" t="s">
        <v>1281</v>
      </c>
      <c r="B193" s="11">
        <v>46174</v>
      </c>
      <c r="C193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193" s="7" t="s">
        <v>1282</v>
      </c>
      <c r="E193" s="7" t="s">
        <v>171</v>
      </c>
      <c r="G193" s="8">
        <v>1</v>
      </c>
      <c r="I193" s="7" t="s">
        <v>1283</v>
      </c>
      <c r="J193" s="7" t="s">
        <v>1284</v>
      </c>
      <c r="K193" s="7" t="s">
        <v>1285</v>
      </c>
      <c r="L193" s="7" t="s">
        <v>1286</v>
      </c>
      <c r="M193" s="7" t="s">
        <v>337</v>
      </c>
      <c r="N193" s="7" t="s">
        <v>1287</v>
      </c>
      <c r="O193" s="7" t="s">
        <v>31</v>
      </c>
      <c r="P193" s="7">
        <v>14253902081</v>
      </c>
      <c r="Q193" s="7" t="s">
        <v>1288</v>
      </c>
      <c r="S193" s="7">
        <v>50803</v>
      </c>
      <c r="T193" s="7" t="s">
        <v>33</v>
      </c>
    </row>
    <row r="194" customHeight="1" spans="1:20">
      <c r="A194" s="7" t="s">
        <v>1289</v>
      </c>
      <c r="B194" s="11">
        <v>46174</v>
      </c>
      <c r="C194" s="12" t="str">
        <f>HYPERLINK("https://drive.google.com/drive/folders/1I42oZ9HTh0v_XDLcpmDJ73k_RlJTjWoU?usp=sharing","https://drive.google.com/drive/folders/1I42oZ9HTh0v_XDLcpmDJ73k_RlJTjWoU?usp=sharing")</f>
        <v>https://drive.google.com/drive/folders/1I42oZ9HTh0v_XDLcpmDJ73k_RlJTjWoU?usp=sharing</v>
      </c>
      <c r="D194" s="7" t="s">
        <v>1290</v>
      </c>
      <c r="E194" s="7" t="s">
        <v>181</v>
      </c>
      <c r="G194" s="8">
        <v>1</v>
      </c>
      <c r="I194" s="7" t="s">
        <v>1291</v>
      </c>
      <c r="J194" s="7" t="s">
        <v>1292</v>
      </c>
      <c r="K194" s="7" t="s">
        <v>1293</v>
      </c>
      <c r="L194" s="7" t="s">
        <v>1294</v>
      </c>
      <c r="M194" s="7" t="s">
        <v>195</v>
      </c>
      <c r="N194" s="7" t="s">
        <v>1295</v>
      </c>
      <c r="O194" s="7" t="s">
        <v>31</v>
      </c>
      <c r="P194" s="7">
        <v>17757819136</v>
      </c>
      <c r="Q194" s="7" t="s">
        <v>1296</v>
      </c>
      <c r="S194" s="7">
        <v>50832</v>
      </c>
      <c r="T194" s="7" t="s">
        <v>33</v>
      </c>
    </row>
    <row r="195" customHeight="1" spans="1:20">
      <c r="A195" s="7" t="s">
        <v>1297</v>
      </c>
      <c r="B195" s="11">
        <v>46174</v>
      </c>
      <c r="C195" s="12" t="str">
        <f>HYPERLINK("https://drive.google.com/drive/folders/1A7SAe1krlwN9k5bUrtXLT5Z9KebGeTsI?usp=drive_link","https://drive.google.com/drive/folders/1A7SAe1krlwN9k5bUrtXLT5Z9KebGeTsI?usp=drive_link")</f>
        <v>https://drive.google.com/drive/folders/1A7SAe1krlwN9k5bUrtXLT5Z9KebGeTsI?usp=drive_link</v>
      </c>
      <c r="D195" s="7" t="s">
        <v>699</v>
      </c>
      <c r="E195" s="7" t="s">
        <v>212</v>
      </c>
      <c r="G195" s="8">
        <v>1</v>
      </c>
      <c r="I195" s="7" t="s">
        <v>1298</v>
      </c>
      <c r="J195" s="7" t="s">
        <v>1299</v>
      </c>
      <c r="K195" s="7" t="s">
        <v>1300</v>
      </c>
      <c r="L195" s="7" t="s">
        <v>1301</v>
      </c>
      <c r="N195" s="7" t="s">
        <v>1302</v>
      </c>
      <c r="O195" s="7" t="s">
        <v>665</v>
      </c>
      <c r="P195" s="7">
        <v>33641035124</v>
      </c>
      <c r="Q195" s="7" t="s">
        <v>1303</v>
      </c>
      <c r="S195" s="7">
        <v>50827</v>
      </c>
      <c r="T195" s="7" t="s">
        <v>33</v>
      </c>
    </row>
    <row r="196" customHeight="1" spans="1:20">
      <c r="A196" s="7" t="s">
        <v>1304</v>
      </c>
      <c r="B196" s="11">
        <v>46174</v>
      </c>
      <c r="C196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196" s="7" t="s">
        <v>1305</v>
      </c>
      <c r="E196" s="7" t="s">
        <v>181</v>
      </c>
      <c r="G196" s="8">
        <v>1</v>
      </c>
      <c r="I196" s="7" t="s">
        <v>1306</v>
      </c>
      <c r="J196" s="7" t="s">
        <v>1307</v>
      </c>
      <c r="K196" s="7" t="s">
        <v>1308</v>
      </c>
      <c r="L196" s="7" t="s">
        <v>1309</v>
      </c>
      <c r="M196" s="7" t="s">
        <v>195</v>
      </c>
      <c r="N196" s="7" t="s">
        <v>1310</v>
      </c>
      <c r="O196" s="7" t="s">
        <v>31</v>
      </c>
      <c r="P196" s="7">
        <v>17022746026</v>
      </c>
      <c r="Q196" s="7" t="s">
        <v>1311</v>
      </c>
      <c r="S196" s="7">
        <v>50839</v>
      </c>
      <c r="T196" s="7" t="s">
        <v>33</v>
      </c>
    </row>
    <row r="197" customHeight="1" spans="1:20">
      <c r="A197" s="7" t="s">
        <v>1312</v>
      </c>
      <c r="B197" s="11">
        <v>46174</v>
      </c>
      <c r="C197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197" s="7" t="s">
        <v>1313</v>
      </c>
      <c r="E197" s="7" t="s">
        <v>181</v>
      </c>
      <c r="G197" s="8">
        <v>1</v>
      </c>
      <c r="I197" s="7" t="s">
        <v>1314</v>
      </c>
      <c r="J197" s="7" t="s">
        <v>1307</v>
      </c>
      <c r="K197" s="7" t="s">
        <v>1308</v>
      </c>
      <c r="L197" s="7" t="s">
        <v>1309</v>
      </c>
      <c r="M197" s="7" t="s">
        <v>195</v>
      </c>
      <c r="N197" s="7" t="s">
        <v>1310</v>
      </c>
      <c r="O197" s="7" t="s">
        <v>31</v>
      </c>
      <c r="P197" s="7">
        <v>17022746026</v>
      </c>
      <c r="Q197" s="7" t="s">
        <v>1311</v>
      </c>
      <c r="S197" s="7">
        <v>50839</v>
      </c>
      <c r="T197" s="7" t="s">
        <v>33</v>
      </c>
    </row>
    <row r="198" customHeight="1" spans="1:20">
      <c r="A198" s="7" t="s">
        <v>1315</v>
      </c>
      <c r="B198" s="11">
        <v>46174</v>
      </c>
      <c r="C198" s="12" t="str">
        <f>HYPERLINK("https://drive.google.com/drive/folders/1FtJ7SvJ3rxGCzMtxN_SJLm4lOEcutHq4?usp=sharing","https://drive.google.com/drive/folders/1FtJ7SvJ3rxGCzMtxN_SJLm4lOEcutHq4?usp=sharing")</f>
        <v>https://drive.google.com/drive/folders/1FtJ7SvJ3rxGCzMtxN_SJLm4lOEcutHq4?usp=sharing</v>
      </c>
      <c r="D198" s="7" t="s">
        <v>1316</v>
      </c>
      <c r="E198" s="7" t="s">
        <v>239</v>
      </c>
      <c r="G198" s="8">
        <v>1</v>
      </c>
      <c r="H198" s="7" t="s">
        <v>533</v>
      </c>
      <c r="I198" s="7" t="s">
        <v>1317</v>
      </c>
      <c r="J198" s="7" t="s">
        <v>1318</v>
      </c>
      <c r="K198" s="7" t="s">
        <v>1319</v>
      </c>
      <c r="L198" s="7" t="s">
        <v>1320</v>
      </c>
      <c r="M198" s="7" t="s">
        <v>337</v>
      </c>
      <c r="N198" s="7" t="s">
        <v>1321</v>
      </c>
      <c r="O198" s="7" t="s">
        <v>31</v>
      </c>
      <c r="P198" s="7">
        <v>12062096918</v>
      </c>
      <c r="Q198" s="7" t="s">
        <v>1322</v>
      </c>
      <c r="S198" s="7">
        <v>50852</v>
      </c>
      <c r="T198" s="7" t="s">
        <v>33</v>
      </c>
    </row>
    <row r="199" customHeight="1" spans="1:20">
      <c r="A199" s="7" t="s">
        <v>1315</v>
      </c>
      <c r="B199" s="11">
        <v>46174</v>
      </c>
      <c r="C199" s="12" t="str">
        <f>HYPERLINK("https://drive.google.com/drive/folders/18K_yzHGbd4B_oQxqPww53ZSmT94YywfS?usp=sharing","https://drive.google.com/drive/folders/18K_yzHGbd4B_oQxqPww53ZSmT94YywfS?usp=sharing")</f>
        <v>https://drive.google.com/drive/folders/18K_yzHGbd4B_oQxqPww53ZSmT94YywfS?usp=sharing</v>
      </c>
      <c r="D199" s="7" t="s">
        <v>1323</v>
      </c>
      <c r="E199" s="7" t="s">
        <v>212</v>
      </c>
      <c r="G199" s="8">
        <v>1</v>
      </c>
      <c r="H199" s="7" t="s">
        <v>810</v>
      </c>
      <c r="I199" s="7" t="s">
        <v>1317</v>
      </c>
      <c r="J199" s="7" t="s">
        <v>1318</v>
      </c>
      <c r="K199" s="7" t="s">
        <v>1319</v>
      </c>
      <c r="L199" s="7" t="s">
        <v>1320</v>
      </c>
      <c r="M199" s="7" t="s">
        <v>337</v>
      </c>
      <c r="N199" s="7" t="s">
        <v>1321</v>
      </c>
      <c r="O199" s="7" t="s">
        <v>31</v>
      </c>
      <c r="P199" s="7">
        <v>12062096918</v>
      </c>
      <c r="Q199" s="7" t="s">
        <v>1322</v>
      </c>
      <c r="S199" s="7">
        <v>50853</v>
      </c>
      <c r="T199" s="7" t="s">
        <v>33</v>
      </c>
    </row>
    <row r="200" customHeight="1" spans="1:20">
      <c r="A200" s="7" t="s">
        <v>1324</v>
      </c>
      <c r="B200" s="11">
        <v>46174</v>
      </c>
      <c r="C200" s="12" t="str">
        <f>HYPERLINK("https://drive.google.com/drive/folders/1ZFJ9qEVbFk75SnGNpX5B5mb7b9rZNRgr?usp=sharing","https://drive.google.com/drive/folders/1ZFJ9qEVbFk75SnGNpX5B5mb7b9rZNRgr?usp=sharing")</f>
        <v>https://drive.google.com/drive/folders/1ZFJ9qEVbFk75SnGNpX5B5mb7b9rZNRgr?usp=sharing</v>
      </c>
      <c r="D200" s="7" t="s">
        <v>1325</v>
      </c>
      <c r="E200" s="7" t="s">
        <v>239</v>
      </c>
      <c r="G200" s="8">
        <v>1</v>
      </c>
      <c r="H200" s="7" t="s">
        <v>316</v>
      </c>
      <c r="I200" s="7" t="s">
        <v>1326</v>
      </c>
      <c r="J200" s="7" t="s">
        <v>1327</v>
      </c>
      <c r="K200" s="7" t="s">
        <v>1328</v>
      </c>
      <c r="L200" s="7" t="s">
        <v>1329</v>
      </c>
      <c r="M200" s="7" t="s">
        <v>418</v>
      </c>
      <c r="N200" s="7" t="s">
        <v>1330</v>
      </c>
      <c r="O200" s="7" t="s">
        <v>31</v>
      </c>
      <c r="P200" s="7">
        <v>17209406211</v>
      </c>
      <c r="Q200" s="7" t="s">
        <v>1331</v>
      </c>
      <c r="S200" s="7">
        <v>50858</v>
      </c>
      <c r="T200" s="7" t="s">
        <v>33</v>
      </c>
    </row>
    <row r="201" customHeight="1" spans="1:20">
      <c r="A201" s="7" t="s">
        <v>1332</v>
      </c>
      <c r="B201" s="11">
        <v>46174</v>
      </c>
      <c r="C201" s="12" t="str">
        <f>HYPERLINK("https://drive.google.com/drive/folders/1IoKeBlNiM2iN4JSAELtJyxL4xEP_RaD4?usp=sharing","https://drive.google.com/drive/folders/1IoKeBlNiM2iN4JSAELtJyxL4xEP_RaD4?usp=sharing")</f>
        <v>https://drive.google.com/drive/folders/1IoKeBlNiM2iN4JSAELtJyxL4xEP_RaD4?usp=sharing</v>
      </c>
      <c r="D201" s="7" t="s">
        <v>1333</v>
      </c>
      <c r="E201" s="7" t="s">
        <v>149</v>
      </c>
      <c r="G201" s="8">
        <v>1</v>
      </c>
      <c r="H201" s="7" t="s">
        <v>1334</v>
      </c>
      <c r="I201" s="7" t="s">
        <v>1335</v>
      </c>
      <c r="J201" s="7" t="s">
        <v>1336</v>
      </c>
      <c r="K201" s="7" t="s">
        <v>1337</v>
      </c>
      <c r="L201" s="7" t="s">
        <v>1338</v>
      </c>
      <c r="M201" s="7" t="s">
        <v>1339</v>
      </c>
      <c r="N201" s="7" t="s">
        <v>1340</v>
      </c>
      <c r="O201" s="7" t="s">
        <v>31</v>
      </c>
      <c r="P201" s="7">
        <v>18034042332</v>
      </c>
      <c r="Q201" s="7" t="s">
        <v>1341</v>
      </c>
      <c r="S201" s="7">
        <v>50878</v>
      </c>
      <c r="T201" s="7" t="s">
        <v>33</v>
      </c>
    </row>
    <row r="202" customHeight="1" spans="1:20">
      <c r="A202" s="7" t="s">
        <v>1342</v>
      </c>
      <c r="B202" s="11">
        <v>46174</v>
      </c>
      <c r="C202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202" s="7" t="s">
        <v>1343</v>
      </c>
      <c r="E202" s="7" t="s">
        <v>181</v>
      </c>
      <c r="G202" s="8">
        <v>1</v>
      </c>
      <c r="I202" s="7" t="s">
        <v>1344</v>
      </c>
      <c r="J202" s="7" t="s">
        <v>1345</v>
      </c>
      <c r="K202" s="7" t="s">
        <v>1346</v>
      </c>
      <c r="L202" s="7" t="s">
        <v>1347</v>
      </c>
      <c r="M202" s="7" t="s">
        <v>64</v>
      </c>
      <c r="N202" s="7" t="s">
        <v>1348</v>
      </c>
      <c r="O202" s="7" t="s">
        <v>31</v>
      </c>
      <c r="P202" s="7">
        <v>19167992131</v>
      </c>
      <c r="Q202" s="7" t="s">
        <v>1349</v>
      </c>
      <c r="S202" s="7">
        <v>50880</v>
      </c>
      <c r="T202" s="7" t="s">
        <v>33</v>
      </c>
    </row>
    <row r="203" customHeight="1" spans="1:20">
      <c r="A203" s="7" t="s">
        <v>1350</v>
      </c>
      <c r="B203" s="11">
        <v>46174</v>
      </c>
      <c r="C203" s="12" t="str">
        <f>HYPERLINK("https://drive.google.com/drive/folders/1eeAThDDdVXqax4fnuXcdXG6yRTeqVLuF?usp=sharing","https://drive.google.com/drive/folders/1eeAThDDdVXqax4fnuXcdXG6yRTeqVLuF?usp=sharing")</f>
        <v>https://drive.google.com/drive/folders/1eeAThDDdVXqax4fnuXcdXG6yRTeqVLuF?usp=sharing</v>
      </c>
      <c r="D203" s="7" t="s">
        <v>1351</v>
      </c>
      <c r="E203" s="7" t="s">
        <v>181</v>
      </c>
      <c r="G203" s="8">
        <v>1</v>
      </c>
      <c r="I203" s="7" t="s">
        <v>1352</v>
      </c>
      <c r="J203" s="7" t="s">
        <v>1345</v>
      </c>
      <c r="K203" s="7" t="s">
        <v>1346</v>
      </c>
      <c r="L203" s="7" t="s">
        <v>1347</v>
      </c>
      <c r="M203" s="7" t="s">
        <v>64</v>
      </c>
      <c r="N203" s="7" t="s">
        <v>1348</v>
      </c>
      <c r="O203" s="7" t="s">
        <v>31</v>
      </c>
      <c r="P203" s="7">
        <v>19167992131</v>
      </c>
      <c r="Q203" s="7" t="s">
        <v>1349</v>
      </c>
      <c r="S203" s="7">
        <v>50880</v>
      </c>
      <c r="T203" s="7" t="s">
        <v>33</v>
      </c>
    </row>
    <row r="204" customHeight="1" spans="1:20">
      <c r="A204" s="7" t="s">
        <v>1353</v>
      </c>
      <c r="B204" s="11">
        <v>46174</v>
      </c>
      <c r="C204" s="12" t="str">
        <f>HYPERLINK("https://drive.google.com/drive/folders/1oaeaJojwIwEBTSff2p51iXM6o2ypmw76?usp=sharing","https://drive.google.com/drive/folders/1oaeaJojwIwEBTSff2p51iXM6o2ypmw76?usp=sharing")</f>
        <v>https://drive.google.com/drive/folders/1oaeaJojwIwEBTSff2p51iXM6o2ypmw76?usp=sharing</v>
      </c>
      <c r="D204" s="7" t="s">
        <v>1354</v>
      </c>
      <c r="E204" s="7" t="s">
        <v>239</v>
      </c>
      <c r="G204" s="8">
        <v>1</v>
      </c>
      <c r="I204" s="7" t="s">
        <v>1355</v>
      </c>
      <c r="J204" s="7" t="s">
        <v>1356</v>
      </c>
      <c r="K204" s="7" t="s">
        <v>1357</v>
      </c>
      <c r="L204" s="7" t="s">
        <v>1358</v>
      </c>
      <c r="M204" s="7" t="s">
        <v>1359</v>
      </c>
      <c r="N204" s="7" t="s">
        <v>1360</v>
      </c>
      <c r="O204" s="7" t="s">
        <v>31</v>
      </c>
      <c r="P204" s="7">
        <v>19703083379</v>
      </c>
      <c r="Q204" s="7" t="s">
        <v>1361</v>
      </c>
      <c r="S204" s="7">
        <v>50882</v>
      </c>
      <c r="T204" s="7" t="s">
        <v>33</v>
      </c>
    </row>
    <row r="205" customHeight="1" spans="1:20">
      <c r="A205" s="7" t="s">
        <v>1353</v>
      </c>
      <c r="B205" s="11">
        <v>46174</v>
      </c>
      <c r="C205" s="12" t="str">
        <f>HYPERLINK("https://drive.google.com/drive/folders/1X-4kIZDYSYAGJtmRQYejRDkfiV1IUxRo?usp=sharing","https://drive.google.com/drive/folders/1X-4kIZDYSYAGJtmRQYejRDkfiV1IUxRo?usp=sharing")</f>
        <v>https://drive.google.com/drive/folders/1X-4kIZDYSYAGJtmRQYejRDkfiV1IUxRo?usp=sharing</v>
      </c>
      <c r="D205" s="7" t="s">
        <v>1362</v>
      </c>
      <c r="E205" s="7" t="s">
        <v>239</v>
      </c>
      <c r="G205" s="8">
        <v>1</v>
      </c>
      <c r="I205" s="7" t="s">
        <v>1355</v>
      </c>
      <c r="J205" s="7" t="s">
        <v>1356</v>
      </c>
      <c r="K205" s="7" t="s">
        <v>1357</v>
      </c>
      <c r="L205" s="7" t="s">
        <v>1358</v>
      </c>
      <c r="M205" s="7" t="s">
        <v>1359</v>
      </c>
      <c r="N205" s="7" t="s">
        <v>1360</v>
      </c>
      <c r="O205" s="7" t="s">
        <v>31</v>
      </c>
      <c r="P205" s="7">
        <v>19703083379</v>
      </c>
      <c r="Q205" s="7" t="s">
        <v>1361</v>
      </c>
      <c r="S205" s="7">
        <v>50883</v>
      </c>
      <c r="T205" s="7" t="s">
        <v>33</v>
      </c>
    </row>
    <row r="206" customHeight="1" spans="1:20">
      <c r="A206" s="7" t="s">
        <v>1353</v>
      </c>
      <c r="B206" s="11">
        <v>46174</v>
      </c>
      <c r="C206" s="12" t="str">
        <f>HYPERLINK("https://drive.google.com/drive/folders/1EKBOgmDV-O2XNTn-Q_rCMsoXFajjJPzU?usp=sharing","https://drive.google.com/drive/folders/1EKBOgmDV-O2XNTn-Q_rCMsoXFajjJPzU?usp=sharing")</f>
        <v>https://drive.google.com/drive/folders/1EKBOgmDV-O2XNTn-Q_rCMsoXFajjJPzU?usp=sharing</v>
      </c>
      <c r="D206" s="7" t="s">
        <v>1363</v>
      </c>
      <c r="E206" s="7" t="s">
        <v>168</v>
      </c>
      <c r="G206" s="8">
        <v>1</v>
      </c>
      <c r="I206" s="7" t="s">
        <v>1355</v>
      </c>
      <c r="J206" s="7" t="s">
        <v>1356</v>
      </c>
      <c r="K206" s="7" t="s">
        <v>1357</v>
      </c>
      <c r="L206" s="7" t="s">
        <v>1358</v>
      </c>
      <c r="M206" s="7" t="s">
        <v>1359</v>
      </c>
      <c r="N206" s="7" t="s">
        <v>1360</v>
      </c>
      <c r="O206" s="7" t="s">
        <v>31</v>
      </c>
      <c r="P206" s="7">
        <v>19703083379</v>
      </c>
      <c r="Q206" s="7" t="s">
        <v>1361</v>
      </c>
      <c r="S206" s="7">
        <v>50884</v>
      </c>
      <c r="T206" s="7" t="s">
        <v>33</v>
      </c>
    </row>
    <row r="207" customHeight="1" spans="1:20">
      <c r="A207" s="7" t="s">
        <v>1364</v>
      </c>
      <c r="B207" s="11">
        <v>46174</v>
      </c>
      <c r="C207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207" s="7" t="s">
        <v>1365</v>
      </c>
      <c r="E207" s="7" t="s">
        <v>239</v>
      </c>
      <c r="G207" s="8">
        <v>1</v>
      </c>
      <c r="I207" s="7" t="s">
        <v>1366</v>
      </c>
      <c r="J207" s="7" t="s">
        <v>1367</v>
      </c>
      <c r="K207" s="7" t="s">
        <v>1368</v>
      </c>
      <c r="L207" s="7" t="s">
        <v>1369</v>
      </c>
      <c r="M207" s="7" t="s">
        <v>64</v>
      </c>
      <c r="N207" s="7" t="s">
        <v>1370</v>
      </c>
      <c r="O207" s="7" t="s">
        <v>31</v>
      </c>
      <c r="P207" s="7">
        <v>18187431613</v>
      </c>
      <c r="Q207" s="7" t="s">
        <v>1371</v>
      </c>
      <c r="S207" s="7">
        <v>50888</v>
      </c>
      <c r="T207" s="7" t="s">
        <v>33</v>
      </c>
    </row>
    <row r="208" customHeight="1" spans="1:20">
      <c r="A208" s="7" t="s">
        <v>1372</v>
      </c>
      <c r="B208" s="11">
        <v>46174</v>
      </c>
      <c r="C208" s="12" t="str">
        <f>HYPERLINK("https://drive.google.com/drive/folders/1zwfLPTbzR1kMEmgTsJOoSM-gIlIQN9jQ?usp=sharing","https://drive.google.com/drive/folders/1zwfLPTbzR1kMEmgTsJOoSM-gIlIQN9jQ?usp=sharing")</f>
        <v>https://drive.google.com/drive/folders/1zwfLPTbzR1kMEmgTsJOoSM-gIlIQN9jQ?usp=sharing</v>
      </c>
      <c r="D208" s="7" t="s">
        <v>1373</v>
      </c>
      <c r="E208" s="7" t="s">
        <v>962</v>
      </c>
      <c r="G208" s="8">
        <v>1</v>
      </c>
      <c r="I208" s="7" t="s">
        <v>1374</v>
      </c>
      <c r="J208" s="7" t="s">
        <v>1375</v>
      </c>
      <c r="K208" s="7" t="s">
        <v>1376</v>
      </c>
      <c r="L208" s="7" t="s">
        <v>1377</v>
      </c>
      <c r="M208" s="7" t="s">
        <v>195</v>
      </c>
      <c r="N208" s="7" t="s">
        <v>1378</v>
      </c>
      <c r="O208" s="7" t="s">
        <v>31</v>
      </c>
      <c r="P208" s="7">
        <v>17753160407</v>
      </c>
      <c r="Q208" s="7" t="s">
        <v>1379</v>
      </c>
      <c r="S208" s="7">
        <v>50896</v>
      </c>
      <c r="T208" s="7" t="s">
        <v>33</v>
      </c>
    </row>
    <row r="209" customHeight="1" spans="1:20">
      <c r="A209" s="7" t="s">
        <v>1380</v>
      </c>
      <c r="B209" s="11">
        <v>46174</v>
      </c>
      <c r="C209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209" s="7" t="s">
        <v>1381</v>
      </c>
      <c r="E209" s="7" t="s">
        <v>212</v>
      </c>
      <c r="G209" s="8">
        <v>1</v>
      </c>
      <c r="I209" s="7" t="s">
        <v>1382</v>
      </c>
      <c r="J209" s="7" t="s">
        <v>1383</v>
      </c>
      <c r="K209" s="7" t="s">
        <v>1384</v>
      </c>
      <c r="L209" s="7" t="s">
        <v>1026</v>
      </c>
      <c r="M209" s="7" t="s">
        <v>260</v>
      </c>
      <c r="N209" s="7" t="s">
        <v>1385</v>
      </c>
      <c r="O209" s="7" t="s">
        <v>31</v>
      </c>
      <c r="P209" s="7">
        <v>18085618545</v>
      </c>
      <c r="Q209" s="7" t="s">
        <v>1386</v>
      </c>
      <c r="S209" s="7">
        <v>50898</v>
      </c>
      <c r="T209" s="7" t="s">
        <v>33</v>
      </c>
    </row>
    <row r="210" customHeight="1" spans="1:20">
      <c r="A210" s="7" t="s">
        <v>1387</v>
      </c>
      <c r="B210" s="11">
        <v>46174</v>
      </c>
      <c r="C210" s="12" t="str">
        <f>HYPERLINK("https://drive.google.com/drive/folders/1I42oZ9HTh0v_XDLcpmDJ73k_RlJTjWoU?usp=sharing","https://drive.google.com/drive/folders/1I42oZ9HTh0v_XDLcpmDJ73k_RlJTjWoU?usp=sharing")</f>
        <v>https://drive.google.com/drive/folders/1I42oZ9HTh0v_XDLcpmDJ73k_RlJTjWoU?usp=sharing</v>
      </c>
      <c r="D210" s="7" t="s">
        <v>1388</v>
      </c>
      <c r="E210" s="7" t="s">
        <v>212</v>
      </c>
      <c r="G210" s="8">
        <v>1</v>
      </c>
      <c r="I210" s="7" t="s">
        <v>1389</v>
      </c>
      <c r="J210" s="7" t="s">
        <v>1390</v>
      </c>
      <c r="K210" s="7" t="s">
        <v>1391</v>
      </c>
      <c r="L210" s="7" t="s">
        <v>1392</v>
      </c>
      <c r="M210" s="7" t="s">
        <v>608</v>
      </c>
      <c r="N210" s="7" t="s">
        <v>1393</v>
      </c>
      <c r="O210" s="7" t="s">
        <v>31</v>
      </c>
      <c r="P210" s="7">
        <v>18017550186</v>
      </c>
      <c r="Q210" s="7" t="s">
        <v>1394</v>
      </c>
      <c r="S210" s="7">
        <v>50900</v>
      </c>
      <c r="T210" s="7" t="s">
        <v>33</v>
      </c>
    </row>
    <row r="211" customHeight="1" spans="1:20">
      <c r="A211" s="7" t="s">
        <v>1395</v>
      </c>
      <c r="B211" s="11">
        <v>46174</v>
      </c>
      <c r="C211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211" s="7" t="s">
        <v>1396</v>
      </c>
      <c r="E211" s="7" t="s">
        <v>239</v>
      </c>
      <c r="G211" s="8">
        <v>1</v>
      </c>
      <c r="I211" s="7" t="s">
        <v>1397</v>
      </c>
      <c r="J211" s="7" t="s">
        <v>1398</v>
      </c>
      <c r="K211" s="7" t="s">
        <v>1399</v>
      </c>
      <c r="L211" s="7" t="s">
        <v>1400</v>
      </c>
      <c r="M211" s="7" t="s">
        <v>64</v>
      </c>
      <c r="N211" s="7" t="s">
        <v>1401</v>
      </c>
      <c r="O211" s="7" t="s">
        <v>31</v>
      </c>
      <c r="P211" s="7">
        <v>16507588001</v>
      </c>
      <c r="Q211" s="7" t="s">
        <v>1402</v>
      </c>
      <c r="S211" s="7">
        <v>50904</v>
      </c>
      <c r="T211" s="7" t="s">
        <v>33</v>
      </c>
    </row>
    <row r="212" customHeight="1" spans="1:20">
      <c r="A212" s="7" t="s">
        <v>1403</v>
      </c>
      <c r="B212" s="11">
        <v>46174</v>
      </c>
      <c r="C212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212" s="7" t="s">
        <v>1404</v>
      </c>
      <c r="E212" s="7" t="s">
        <v>239</v>
      </c>
      <c r="G212" s="8">
        <v>1</v>
      </c>
      <c r="I212" s="7" t="s">
        <v>1405</v>
      </c>
      <c r="J212" s="7" t="s">
        <v>1406</v>
      </c>
      <c r="K212" s="7" t="s">
        <v>1407</v>
      </c>
      <c r="L212" s="7" t="s">
        <v>234</v>
      </c>
      <c r="M212" s="7" t="s">
        <v>64</v>
      </c>
      <c r="N212" s="7" t="s">
        <v>1408</v>
      </c>
      <c r="O212" s="7" t="s">
        <v>31</v>
      </c>
      <c r="P212" s="7">
        <v>16195073752</v>
      </c>
      <c r="Q212" s="7" t="s">
        <v>1409</v>
      </c>
      <c r="S212" s="7">
        <v>50910</v>
      </c>
      <c r="T212" s="7" t="s">
        <v>33</v>
      </c>
    </row>
    <row r="213" customHeight="1" spans="1:20">
      <c r="A213" s="7" t="s">
        <v>1410</v>
      </c>
      <c r="B213" s="11">
        <v>46174</v>
      </c>
      <c r="C213" s="12" t="str">
        <f>HYPERLINK("https://drive.google.com/drive/folders/1wgOi9SHr4AgWoPfWS0mvg1yM1Y9qQWYj?usp=drive_link","https://drive.google.com/drive/folders/1wgOi9SHr4AgWoPfWS0mvg1yM1Y9qQWYj?usp=drive_link")</f>
        <v>https://drive.google.com/drive/folders/1wgOi9SHr4AgWoPfWS0mvg1yM1Y9qQWYj?usp=drive_link</v>
      </c>
      <c r="D213" s="7" t="s">
        <v>1411</v>
      </c>
      <c r="E213" s="7" t="s">
        <v>159</v>
      </c>
      <c r="G213" s="8">
        <v>1</v>
      </c>
      <c r="H213" s="7" t="s">
        <v>316</v>
      </c>
      <c r="I213" s="7" t="s">
        <v>1412</v>
      </c>
      <c r="J213" s="7" t="s">
        <v>1413</v>
      </c>
      <c r="K213" s="7" t="s">
        <v>1414</v>
      </c>
      <c r="L213" s="7" t="s">
        <v>336</v>
      </c>
      <c r="M213" s="7" t="s">
        <v>337</v>
      </c>
      <c r="N213" s="7" t="s">
        <v>1415</v>
      </c>
      <c r="O213" s="7" t="s">
        <v>31</v>
      </c>
      <c r="P213" s="7">
        <v>14254703798</v>
      </c>
      <c r="Q213" s="7" t="s">
        <v>1416</v>
      </c>
      <c r="S213" s="7">
        <v>50915</v>
      </c>
      <c r="T213" s="7" t="s">
        <v>33</v>
      </c>
    </row>
    <row r="214" customHeight="1" spans="1:20">
      <c r="A214" s="7" t="s">
        <v>1417</v>
      </c>
      <c r="B214" s="11">
        <v>46174</v>
      </c>
      <c r="C214" s="12" t="str">
        <f>HYPERLINK("https://drive.google.com/drive/folders/1WbLl8GSeQFX_DRflV-5aQb06z_VFjc3D?usp=sharing","https://drive.google.com/drive/folders/1WbLl8GSeQFX_DRflV-5aQb06z_VFjc3D?usp=sharing")</f>
        <v>https://drive.google.com/drive/folders/1WbLl8GSeQFX_DRflV-5aQb06z_VFjc3D?usp=sharing</v>
      </c>
      <c r="D214" s="7" t="s">
        <v>1418</v>
      </c>
      <c r="E214" s="7" t="s">
        <v>168</v>
      </c>
      <c r="G214" s="8">
        <v>1</v>
      </c>
      <c r="I214" s="7" t="s">
        <v>1419</v>
      </c>
      <c r="J214" s="7" t="s">
        <v>1420</v>
      </c>
      <c r="K214" s="7" t="s">
        <v>1421</v>
      </c>
      <c r="L214" s="7" t="s">
        <v>1422</v>
      </c>
      <c r="M214" s="7" t="s">
        <v>226</v>
      </c>
      <c r="N214" s="7" t="s">
        <v>1423</v>
      </c>
      <c r="O214" s="7" t="s">
        <v>31</v>
      </c>
      <c r="P214" s="7">
        <v>15209065043</v>
      </c>
      <c r="Q214" s="7" t="s">
        <v>1424</v>
      </c>
      <c r="S214" s="7">
        <v>50917</v>
      </c>
      <c r="T214" s="7" t="s">
        <v>33</v>
      </c>
    </row>
    <row r="215" customHeight="1" spans="1:20">
      <c r="A215" s="7" t="s">
        <v>1425</v>
      </c>
      <c r="B215" s="11">
        <v>46174</v>
      </c>
      <c r="C215" s="12" t="str">
        <f>HYPERLINK("https://drive.google.com/drive/folders/1XuHyeJYSBNGfYF9wtO_gYMvNb8hUooD9","https://drive.google.com/drive/folders/1XuHyeJYSBNGfYF9wtO_gYMvNb8hUooD9")</f>
        <v>https://drive.google.com/drive/folders/1XuHyeJYSBNGfYF9wtO_gYMvNb8hUooD9</v>
      </c>
      <c r="D215" s="7" t="s">
        <v>1426</v>
      </c>
      <c r="E215" s="7" t="s">
        <v>49</v>
      </c>
      <c r="G215" s="8">
        <v>1</v>
      </c>
      <c r="I215" s="7" t="s">
        <v>1427</v>
      </c>
      <c r="J215" s="7" t="s">
        <v>1428</v>
      </c>
      <c r="K215" s="7" t="s">
        <v>1429</v>
      </c>
      <c r="L215" s="7" t="s">
        <v>1430</v>
      </c>
      <c r="M215" s="7" t="s">
        <v>226</v>
      </c>
      <c r="N215" s="7" t="s">
        <v>1431</v>
      </c>
      <c r="O215" s="7" t="s">
        <v>31</v>
      </c>
      <c r="P215" s="7">
        <v>19289702918</v>
      </c>
      <c r="Q215" s="7" t="s">
        <v>1432</v>
      </c>
      <c r="S215" s="7">
        <v>59359</v>
      </c>
      <c r="T215" s="7" t="s">
        <v>33</v>
      </c>
    </row>
    <row r="216" customHeight="1" spans="1:20">
      <c r="A216" s="7" t="s">
        <v>1433</v>
      </c>
      <c r="B216" s="11">
        <v>46174</v>
      </c>
      <c r="C216" s="12" t="str">
        <f>HYPERLINK("https://drive.google.com/drive/folders/1qOKBbeufZeBBMEYt85QU6PdYB9kzoXsD","https://drive.google.com/drive/folders/1qOKBbeufZeBBMEYt85QU6PdYB9kzoXsD")</f>
        <v>https://drive.google.com/drive/folders/1qOKBbeufZeBBMEYt85QU6PdYB9kzoXsD</v>
      </c>
      <c r="D216" s="7" t="s">
        <v>1434</v>
      </c>
      <c r="E216" s="7" t="s">
        <v>59</v>
      </c>
      <c r="G216" s="8">
        <v>1</v>
      </c>
      <c r="I216" s="7" t="s">
        <v>1435</v>
      </c>
      <c r="J216" s="7" t="s">
        <v>1436</v>
      </c>
      <c r="K216" s="7" t="s">
        <v>1437</v>
      </c>
      <c r="L216" s="7" t="s">
        <v>1438</v>
      </c>
      <c r="M216" s="7" t="s">
        <v>834</v>
      </c>
      <c r="N216" s="7" t="s">
        <v>1439</v>
      </c>
      <c r="O216" s="7" t="s">
        <v>31</v>
      </c>
      <c r="P216" s="7">
        <v>19378966787</v>
      </c>
      <c r="Q216" s="7" t="s">
        <v>1440</v>
      </c>
      <c r="S216" s="7">
        <v>59368</v>
      </c>
      <c r="T216" s="7" t="s">
        <v>33</v>
      </c>
    </row>
    <row r="217" customHeight="1" spans="1:20">
      <c r="A217" s="7" t="s">
        <v>1441</v>
      </c>
      <c r="B217" s="11">
        <v>46174</v>
      </c>
      <c r="C217" s="12" t="str">
        <f>HYPERLINK("https://drive.google.com/drive/folders/1snGkvSFwsplXxsqf59kdin9I47tJjqHr","https://drive.google.com/drive/folders/1snGkvSFwsplXxsqf59kdin9I47tJjqHr")</f>
        <v>https://drive.google.com/drive/folders/1snGkvSFwsplXxsqf59kdin9I47tJjqHr</v>
      </c>
      <c r="D217" s="7" t="s">
        <v>1442</v>
      </c>
      <c r="E217" s="7" t="s">
        <v>37</v>
      </c>
      <c r="G217" s="8">
        <v>1</v>
      </c>
      <c r="I217" s="7" t="s">
        <v>1443</v>
      </c>
      <c r="J217" s="7" t="s">
        <v>1444</v>
      </c>
      <c r="K217" s="7" t="s">
        <v>1445</v>
      </c>
      <c r="L217" s="7" t="s">
        <v>1446</v>
      </c>
      <c r="M217" s="7" t="s">
        <v>573</v>
      </c>
      <c r="N217" s="7" t="s">
        <v>1447</v>
      </c>
      <c r="O217" s="7" t="s">
        <v>31</v>
      </c>
      <c r="P217" s="7">
        <v>12709528713</v>
      </c>
      <c r="Q217" s="7" t="s">
        <v>1448</v>
      </c>
      <c r="S217" s="7">
        <v>59411</v>
      </c>
      <c r="T217" s="7" t="s">
        <v>33</v>
      </c>
    </row>
    <row r="218" customHeight="1" spans="1:20">
      <c r="A218" s="7" t="s">
        <v>1449</v>
      </c>
      <c r="B218" s="11">
        <v>46174</v>
      </c>
      <c r="C218" s="12" t="str">
        <f>HYPERLINK("https://drive.google.com/drive/folders/1qOKBbeufZeBBMEYt85QU6PdYB9kzoXsD","https://drive.google.com/drive/folders/1qOKBbeufZeBBMEYt85QU6PdYB9kzoXsD")</f>
        <v>https://drive.google.com/drive/folders/1qOKBbeufZeBBMEYt85QU6PdYB9kzoXsD</v>
      </c>
      <c r="D218" s="7" t="s">
        <v>1450</v>
      </c>
      <c r="E218" s="7" t="s">
        <v>46</v>
      </c>
      <c r="G218" s="8">
        <v>1</v>
      </c>
      <c r="I218" s="7" t="s">
        <v>1451</v>
      </c>
      <c r="J218" s="7" t="s">
        <v>1452</v>
      </c>
      <c r="K218" s="7" t="s">
        <v>1453</v>
      </c>
      <c r="L218" s="7" t="s">
        <v>1454</v>
      </c>
      <c r="M218" s="7" t="s">
        <v>226</v>
      </c>
      <c r="N218" s="7" t="s">
        <v>1455</v>
      </c>
      <c r="O218" s="7" t="s">
        <v>31</v>
      </c>
      <c r="P218" s="7">
        <v>19257881372</v>
      </c>
      <c r="Q218" s="7" t="s">
        <v>1456</v>
      </c>
      <c r="S218" s="7">
        <v>59481</v>
      </c>
      <c r="T218" s="7" t="s">
        <v>33</v>
      </c>
    </row>
    <row r="219" customHeight="1" spans="1:20">
      <c r="A219" s="7" t="s">
        <v>1457</v>
      </c>
      <c r="B219" s="11">
        <v>46174</v>
      </c>
      <c r="C219" s="12" t="str">
        <f>HYPERLINK("https://drive.google.com/drive/folders/18SVv_zLH5-Gi8GKlppat0rxwn99D7nOO?usp=drive_link","https://drive.google.com/drive/folders/18SVv_zLH5-Gi8GKlppat0rxwn99D7nOO?usp=drive_link")</f>
        <v>https://drive.google.com/drive/folders/18SVv_zLH5-Gi8GKlppat0rxwn99D7nOO?usp=drive_link</v>
      </c>
      <c r="D219" s="7" t="s">
        <v>1458</v>
      </c>
      <c r="E219" s="7" t="s">
        <v>579</v>
      </c>
      <c r="G219" s="8">
        <v>1</v>
      </c>
      <c r="H219" s="7" t="s">
        <v>1459</v>
      </c>
      <c r="I219" s="7" t="s">
        <v>1460</v>
      </c>
      <c r="J219" s="7" t="s">
        <v>1461</v>
      </c>
      <c r="K219" s="7" t="s">
        <v>1462</v>
      </c>
      <c r="L219" s="7" t="s">
        <v>1463</v>
      </c>
      <c r="M219" s="7" t="s">
        <v>64</v>
      </c>
      <c r="N219" s="7" t="s">
        <v>1464</v>
      </c>
      <c r="O219" s="7" t="s">
        <v>31</v>
      </c>
      <c r="P219" s="7">
        <v>19255884275</v>
      </c>
      <c r="Q219" s="7" t="s">
        <v>1465</v>
      </c>
      <c r="S219" s="7">
        <v>97755</v>
      </c>
      <c r="T219" s="7" t="s">
        <v>33</v>
      </c>
    </row>
    <row r="220" customHeight="1" spans="1:20">
      <c r="A220" s="7" t="s">
        <v>1466</v>
      </c>
      <c r="B220" s="11">
        <v>46174</v>
      </c>
      <c r="C220" s="12" t="str">
        <f>HYPERLINK("https://drive.google.com/drive/folders/15FBoQLUwPcvwNC4j2YLXsOWN2U7rz_S-?usp=drive_link","https://drive.google.com/drive/folders/15FBoQLUwPcvwNC4j2YLXsOWN2U7rz_S-?usp=drive_link")</f>
        <v>https://drive.google.com/drive/folders/15FBoQLUwPcvwNC4j2YLXsOWN2U7rz_S-?usp=drive_link</v>
      </c>
      <c r="D220" s="7" t="s">
        <v>1467</v>
      </c>
      <c r="E220" s="7" t="s">
        <v>579</v>
      </c>
      <c r="G220" s="8">
        <v>1</v>
      </c>
      <c r="H220" s="7" t="s">
        <v>1468</v>
      </c>
      <c r="I220" s="7" t="s">
        <v>1469</v>
      </c>
      <c r="J220" s="7" t="s">
        <v>1470</v>
      </c>
      <c r="K220" s="7" t="s">
        <v>1471</v>
      </c>
      <c r="L220" s="7" t="s">
        <v>1472</v>
      </c>
      <c r="M220" s="7" t="s">
        <v>64</v>
      </c>
      <c r="N220" s="7" t="s">
        <v>1473</v>
      </c>
      <c r="O220" s="7" t="s">
        <v>31</v>
      </c>
      <c r="P220" s="7">
        <v>19495326996</v>
      </c>
      <c r="Q220" s="7" t="s">
        <v>1474</v>
      </c>
      <c r="S220" s="7">
        <v>97843</v>
      </c>
      <c r="T220" s="7" t="s">
        <v>33</v>
      </c>
    </row>
    <row r="221" customHeight="1" spans="1:20">
      <c r="A221" s="7" t="s">
        <v>1475</v>
      </c>
      <c r="B221" s="11">
        <v>46174</v>
      </c>
      <c r="C221" s="12" t="str">
        <f>HYPERLINK("https://drive.google.com/drive/folders/1B9EiPrzZtpnsTS2cJMsCoCDfsw925zAV?usp=sharing","https://drive.google.com/drive/folders/1B9EiPrzZtpnsTS2cJMsCoCDfsw925zAV?usp=sharing")</f>
        <v>https://drive.google.com/drive/folders/1B9EiPrzZtpnsTS2cJMsCoCDfsw925zAV?usp=sharing</v>
      </c>
      <c r="D221" s="7" t="s">
        <v>1476</v>
      </c>
      <c r="E221" s="7" t="s">
        <v>69</v>
      </c>
      <c r="G221" s="8">
        <v>1</v>
      </c>
      <c r="H221" s="7" t="s">
        <v>1477</v>
      </c>
      <c r="I221" s="7" t="s">
        <v>1478</v>
      </c>
      <c r="J221" s="7" t="s">
        <v>1479</v>
      </c>
      <c r="K221" s="7" t="s">
        <v>1480</v>
      </c>
      <c r="L221" s="7" t="s">
        <v>1481</v>
      </c>
      <c r="M221" s="7" t="s">
        <v>1482</v>
      </c>
      <c r="N221" s="7" t="s">
        <v>1483</v>
      </c>
      <c r="O221" s="7" t="s">
        <v>31</v>
      </c>
      <c r="P221" s="7">
        <v>14013325423</v>
      </c>
      <c r="Q221" s="7" t="s">
        <v>1484</v>
      </c>
      <c r="S221" s="7">
        <v>70423</v>
      </c>
      <c r="T221" s="7" t="s">
        <v>33</v>
      </c>
    </row>
    <row r="222" customHeight="1" spans="1:20">
      <c r="A222" s="7" t="s">
        <v>1485</v>
      </c>
      <c r="B222" s="11">
        <v>46174</v>
      </c>
      <c r="C222" s="12" t="str">
        <f>HYPERLINK("https://drive.google.com/drive/folders/195e3uVoRPVgBMrqyGwSg2PtSSyBC4Dkz?usp=drive_link","https://drive.google.com/drive/folders/195e3uVoRPVgBMrqyGwSg2PtSSyBC4Dkz?usp=drive_link")</f>
        <v>https://drive.google.com/drive/folders/195e3uVoRPVgBMrqyGwSg2PtSSyBC4Dkz?usp=drive_link</v>
      </c>
      <c r="D222" s="7" t="s">
        <v>1486</v>
      </c>
      <c r="E222" s="7" t="s">
        <v>350</v>
      </c>
      <c r="G222" s="8">
        <v>1</v>
      </c>
      <c r="H222" s="7" t="s">
        <v>1487</v>
      </c>
      <c r="I222" s="7" t="s">
        <v>1488</v>
      </c>
      <c r="J222" s="7" t="s">
        <v>1489</v>
      </c>
      <c r="K222" s="7" t="s">
        <v>1490</v>
      </c>
      <c r="L222" s="7" t="s">
        <v>1491</v>
      </c>
      <c r="M222" s="7" t="s">
        <v>74</v>
      </c>
      <c r="N222" s="7" t="s">
        <v>1492</v>
      </c>
      <c r="O222" s="7" t="s">
        <v>31</v>
      </c>
      <c r="P222" s="7">
        <v>12817013472</v>
      </c>
      <c r="Q222" s="7" t="s">
        <v>1493</v>
      </c>
      <c r="S222" s="7">
        <v>70441</v>
      </c>
      <c r="T222" s="7" t="s">
        <v>33</v>
      </c>
    </row>
    <row r="223" customHeight="1" spans="1:20">
      <c r="A223" s="7" t="s">
        <v>1494</v>
      </c>
      <c r="B223" s="11">
        <v>46174</v>
      </c>
      <c r="C223" s="12" t="str">
        <f>HYPERLINK("https://drive.google.com/drive/folders/15y3eSfPAdx_5Xt-VaauMOzy985Dm8nAy?usp=drive_link","https://drive.google.com/drive/folders/15y3eSfPAdx_5Xt-VaauMOzy985Dm8nAy?usp=drive_link")</f>
        <v>https://drive.google.com/drive/folders/15y3eSfPAdx_5Xt-VaauMOzy985Dm8nAy?usp=drive_link</v>
      </c>
      <c r="D223" s="7" t="s">
        <v>1495</v>
      </c>
      <c r="E223" s="7" t="s">
        <v>59</v>
      </c>
      <c r="G223" s="8">
        <v>1</v>
      </c>
      <c r="H223" s="7" t="s">
        <v>1496</v>
      </c>
      <c r="I223" s="7" t="s">
        <v>1497</v>
      </c>
      <c r="J223" s="7" t="s">
        <v>1498</v>
      </c>
      <c r="K223" s="7" t="s">
        <v>1499</v>
      </c>
      <c r="L223" s="7" t="s">
        <v>976</v>
      </c>
      <c r="M223" s="7" t="s">
        <v>64</v>
      </c>
      <c r="N223" s="7" t="s">
        <v>1500</v>
      </c>
      <c r="O223" s="7" t="s">
        <v>31</v>
      </c>
      <c r="P223" s="7">
        <v>14087707327</v>
      </c>
      <c r="Q223" s="7" t="s">
        <v>1501</v>
      </c>
      <c r="S223" s="7">
        <v>70459</v>
      </c>
      <c r="T223" s="7" t="s">
        <v>33</v>
      </c>
    </row>
    <row r="224" customHeight="1" spans="1:20">
      <c r="A224" s="7" t="s">
        <v>1502</v>
      </c>
      <c r="B224" s="11">
        <v>46174</v>
      </c>
      <c r="C224" s="12" t="str">
        <f>HYPERLINK("https://drive.google.com/drive/folders/1bjLB4MsAoRqhz2FxmHBYQC0boTk1QZTP?usp=sharing","https://drive.google.com/drive/folders/1bjLB4MsAoRqhz2FxmHBYQC0boTk1QZTP?usp=sharing")</f>
        <v>https://drive.google.com/drive/folders/1bjLB4MsAoRqhz2FxmHBYQC0boTk1QZTP?usp=sharing</v>
      </c>
      <c r="D224" s="7" t="s">
        <v>1503</v>
      </c>
      <c r="E224" s="7" t="s">
        <v>149</v>
      </c>
      <c r="G224" s="8">
        <v>1</v>
      </c>
      <c r="H224" s="7" t="s">
        <v>1504</v>
      </c>
      <c r="I224" s="7" t="s">
        <v>1505</v>
      </c>
      <c r="J224" s="7" t="s">
        <v>1506</v>
      </c>
      <c r="K224" s="7" t="s">
        <v>1507</v>
      </c>
      <c r="L224" s="7" t="s">
        <v>1508</v>
      </c>
      <c r="M224" s="7" t="s">
        <v>64</v>
      </c>
      <c r="N224" s="7" t="s">
        <v>1509</v>
      </c>
      <c r="O224" s="7" t="s">
        <v>31</v>
      </c>
      <c r="P224" s="7">
        <v>17079098085</v>
      </c>
      <c r="Q224" s="7" t="s">
        <v>1510</v>
      </c>
      <c r="S224" s="7">
        <v>70489</v>
      </c>
      <c r="T224" s="7" t="s">
        <v>33</v>
      </c>
    </row>
    <row r="225" customHeight="1" spans="1:20">
      <c r="A225" s="7" t="s">
        <v>1511</v>
      </c>
      <c r="B225" s="11">
        <v>46174</v>
      </c>
      <c r="C225" s="12" t="str">
        <f>HYPERLINK("https://drive.google.com/drive/folders/1qPQaxetC2U11WosLCOQ3hQtGmp52VM5D?usp=sharing","https://drive.google.com/drive/folders/1qPQaxetC2U11WosLCOQ3hQtGmp52VM5D?usp=sharing")</f>
        <v>https://drive.google.com/drive/folders/1qPQaxetC2U11WosLCOQ3hQtGmp52VM5D?usp=sharing</v>
      </c>
      <c r="D225" s="7" t="s">
        <v>1512</v>
      </c>
      <c r="E225" s="7" t="s">
        <v>59</v>
      </c>
      <c r="G225" s="8">
        <v>1</v>
      </c>
      <c r="H225" s="7" t="s">
        <v>1513</v>
      </c>
      <c r="I225" s="7" t="s">
        <v>1514</v>
      </c>
      <c r="J225" s="7" t="s">
        <v>1515</v>
      </c>
      <c r="K225" s="7" t="s">
        <v>1516</v>
      </c>
      <c r="L225" s="7" t="s">
        <v>1517</v>
      </c>
      <c r="M225" s="7" t="s">
        <v>1518</v>
      </c>
      <c r="N225" s="7" t="s">
        <v>1519</v>
      </c>
      <c r="O225" s="7" t="s">
        <v>31</v>
      </c>
      <c r="P225" s="7">
        <v>12052372339</v>
      </c>
      <c r="Q225" s="7" t="s">
        <v>1520</v>
      </c>
      <c r="S225" s="7">
        <v>70608</v>
      </c>
      <c r="T225" s="7" t="s">
        <v>33</v>
      </c>
    </row>
    <row r="226" customHeight="1" spans="1:20">
      <c r="A226" s="7" t="s">
        <v>1521</v>
      </c>
      <c r="B226" s="11">
        <v>46174</v>
      </c>
      <c r="C226" s="12" t="str">
        <f>HYPERLINK("https://drive.google.com/drive/folders/1EF9UTRh_aAGYmfSNaxeqLeF-RE2dVLd7?usp=drive_link","https://drive.google.com/drive/folders/1EF9UTRh_aAGYmfSNaxeqLeF-RE2dVLd7?usp=drive_link")</f>
        <v>https://drive.google.com/drive/folders/1EF9UTRh_aAGYmfSNaxeqLeF-RE2dVLd7?usp=drive_link</v>
      </c>
      <c r="D226" s="7" t="s">
        <v>1522</v>
      </c>
      <c r="E226" s="7" t="s">
        <v>24</v>
      </c>
      <c r="G226" s="8">
        <v>1</v>
      </c>
      <c r="I226" s="7" t="s">
        <v>1523</v>
      </c>
      <c r="J226" s="7" t="s">
        <v>1524</v>
      </c>
      <c r="K226" s="7" t="s">
        <v>1525</v>
      </c>
      <c r="L226" s="7" t="s">
        <v>1526</v>
      </c>
      <c r="M226" s="7" t="s">
        <v>1527</v>
      </c>
      <c r="N226" s="7" t="s">
        <v>1528</v>
      </c>
      <c r="O226" s="7" t="s">
        <v>31</v>
      </c>
      <c r="P226" s="7">
        <v>16172913099</v>
      </c>
      <c r="Q226" s="7" t="s">
        <v>1529</v>
      </c>
      <c r="S226" s="7">
        <v>70780</v>
      </c>
      <c r="T226" s="7" t="s">
        <v>33</v>
      </c>
    </row>
    <row r="227" customHeight="1" spans="1:20">
      <c r="A227" s="7" t="s">
        <v>1530</v>
      </c>
      <c r="B227" s="11">
        <v>46174</v>
      </c>
      <c r="C227" s="12" t="str">
        <f>HYPERLINK("https://drive.google.com/drive/folders/1EF9UTRh_aAGYmfSNaxeqLeF-RE2dVLd7?usp=drive_link","https://drive.google.com/drive/folders/1EF9UTRh_aAGYmfSNaxeqLeF-RE2dVLd7?usp=drive_link")</f>
        <v>https://drive.google.com/drive/folders/1EF9UTRh_aAGYmfSNaxeqLeF-RE2dVLd7?usp=drive_link</v>
      </c>
      <c r="D227" s="7" t="s">
        <v>1531</v>
      </c>
      <c r="E227" s="7" t="s">
        <v>149</v>
      </c>
      <c r="G227" s="8">
        <v>1</v>
      </c>
      <c r="I227" s="7" t="s">
        <v>1532</v>
      </c>
      <c r="J227" s="7" t="s">
        <v>1533</v>
      </c>
      <c r="K227" s="7" t="s">
        <v>1534</v>
      </c>
      <c r="L227" s="7" t="s">
        <v>1535</v>
      </c>
      <c r="M227" s="7" t="s">
        <v>834</v>
      </c>
      <c r="N227" s="7" t="s">
        <v>1536</v>
      </c>
      <c r="O227" s="7" t="s">
        <v>31</v>
      </c>
      <c r="P227" s="7">
        <v>13309779726</v>
      </c>
      <c r="Q227" s="7" t="s">
        <v>1537</v>
      </c>
      <c r="S227" s="7">
        <v>70832</v>
      </c>
      <c r="T227" s="7" t="s">
        <v>33</v>
      </c>
    </row>
    <row r="228" customHeight="1" spans="1:20">
      <c r="A228" s="7" t="s">
        <v>1538</v>
      </c>
      <c r="B228" s="11">
        <v>46174</v>
      </c>
      <c r="C228" s="12" t="str">
        <f>HYPERLINK("https://drive.google.com/drive/folders/1tFo-cD-6-lHEYZc7x0gtHsp0zNiodZGo?usp=drive_link","https://drive.google.com/drive/folders/1tFo-cD-6-lHEYZc7x0gtHsp0zNiodZGo?usp=drive_link")</f>
        <v>https://drive.google.com/drive/folders/1tFo-cD-6-lHEYZc7x0gtHsp0zNiodZGo?usp=drive_link</v>
      </c>
      <c r="D228" s="7" t="s">
        <v>1539</v>
      </c>
      <c r="E228" s="7" t="s">
        <v>131</v>
      </c>
      <c r="G228" s="8">
        <v>1</v>
      </c>
      <c r="I228" s="7" t="s">
        <v>1540</v>
      </c>
      <c r="J228" s="7" t="s">
        <v>1541</v>
      </c>
      <c r="K228" s="7" t="s">
        <v>1542</v>
      </c>
      <c r="L228" s="7" t="s">
        <v>1543</v>
      </c>
      <c r="M228" s="7" t="s">
        <v>74</v>
      </c>
      <c r="N228" s="7" t="s">
        <v>1544</v>
      </c>
      <c r="O228" s="7" t="s">
        <v>31</v>
      </c>
      <c r="P228" s="7">
        <v>945</v>
      </c>
      <c r="Q228" s="7" t="s">
        <v>1545</v>
      </c>
      <c r="S228" s="7">
        <v>71412</v>
      </c>
      <c r="T228" s="7" t="s">
        <v>33</v>
      </c>
    </row>
  </sheetData>
  <autoFilter xmlns:etc="http://www.wps.cn/officeDocument/2017/etCustomData" ref="A1:V228" etc:filterBottomFollowUsedRange="0">
    <sortState ref="A2:V228">
      <sortCondition ref="A1"/>
    </sortState>
    <extLst/>
  </autoFilter>
  <conditionalFormatting sqref="A$1:A$1048576">
    <cfRule type="duplicateValues" dxfId="0" priority="4"/>
  </conditionalFormatting>
  <conditionalFormatting sqref="D$1:D$1048576">
    <cfRule type="duplicateValues" dxfId="0" priority="6"/>
  </conditionalFormatting>
  <conditionalFormatting sqref="I2:I228">
    <cfRule type="duplicateValues" dxfId="0" priority="1"/>
  </conditionalFormatting>
  <conditionalFormatting sqref="J$1:K$1048576">
    <cfRule type="duplicateValues" dxfId="0" priority="5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3"/>
  <sheetViews>
    <sheetView topLeftCell="A184" workbookViewId="0">
      <selection activeCell="A157" sqref="A157:B193"/>
    </sheetView>
  </sheetViews>
  <sheetFormatPr defaultColWidth="9.02654867256637" defaultRowHeight="13.85" outlineLevelCol="1"/>
  <cols>
    <col min="1" max="2" width="9" style="1"/>
  </cols>
  <sheetData>
    <row r="1" ht="15.75" spans="1:2">
      <c r="A1" s="2" t="s">
        <v>1546</v>
      </c>
      <c r="B1" s="2" t="s">
        <v>1547</v>
      </c>
    </row>
    <row r="2" ht="15.75" spans="1:2">
      <c r="A2" s="3" t="s">
        <v>22</v>
      </c>
      <c r="B2" s="3" t="s">
        <v>25</v>
      </c>
    </row>
    <row r="3" ht="15.75" spans="1:2">
      <c r="A3" s="3" t="s">
        <v>35</v>
      </c>
      <c r="B3" s="3" t="s">
        <v>38</v>
      </c>
    </row>
    <row r="4" ht="15.75" spans="1:2">
      <c r="A4" s="3" t="s">
        <v>47</v>
      </c>
      <c r="B4" s="3" t="s">
        <v>50</v>
      </c>
    </row>
    <row r="5" ht="15.75" spans="1:2">
      <c r="A5" s="3" t="s">
        <v>57</v>
      </c>
      <c r="B5" s="3" t="s">
        <v>60</v>
      </c>
    </row>
    <row r="6" ht="15.75" spans="1:2">
      <c r="A6" s="3" t="s">
        <v>67</v>
      </c>
      <c r="B6" s="3" t="s">
        <v>70</v>
      </c>
    </row>
    <row r="7" ht="15.75" spans="1:2">
      <c r="A7" s="3" t="s">
        <v>77</v>
      </c>
      <c r="B7" s="3" t="s">
        <v>80</v>
      </c>
    </row>
    <row r="8" ht="15.75" spans="1:2">
      <c r="A8" s="3" t="s">
        <v>87</v>
      </c>
      <c r="B8" s="3" t="s">
        <v>89</v>
      </c>
    </row>
    <row r="9" ht="15.75" spans="1:2">
      <c r="A9" s="3" t="s">
        <v>95</v>
      </c>
      <c r="B9" s="3" t="s">
        <v>97</v>
      </c>
    </row>
    <row r="10" ht="15.75" spans="1:2">
      <c r="A10" s="3" t="s">
        <v>103</v>
      </c>
      <c r="B10" s="3" t="s">
        <v>105</v>
      </c>
    </row>
    <row r="11" ht="15.75" spans="1:2">
      <c r="A11" s="3" t="s">
        <v>110</v>
      </c>
      <c r="B11" s="3" t="s">
        <v>113</v>
      </c>
    </row>
    <row r="12" ht="15.75" spans="1:2">
      <c r="A12" s="3" t="s">
        <v>120</v>
      </c>
      <c r="B12" s="3" t="s">
        <v>122</v>
      </c>
    </row>
    <row r="13" ht="15.75" spans="1:2">
      <c r="A13" s="3" t="s">
        <v>129</v>
      </c>
      <c r="B13" s="3" t="s">
        <v>132</v>
      </c>
    </row>
    <row r="14" ht="15.75" spans="1:2">
      <c r="A14" s="3" t="s">
        <v>138</v>
      </c>
      <c r="B14" s="3" t="s">
        <v>140</v>
      </c>
    </row>
    <row r="15" ht="15.75" spans="1:2">
      <c r="A15" s="3" t="s">
        <v>147</v>
      </c>
      <c r="B15" s="3" t="s">
        <v>150</v>
      </c>
    </row>
    <row r="16" ht="15.75" spans="1:2">
      <c r="A16" s="3" t="s">
        <v>157</v>
      </c>
      <c r="B16" s="3" t="s">
        <v>160</v>
      </c>
    </row>
    <row r="17" ht="15.75" spans="1:2">
      <c r="A17" s="3" t="s">
        <v>169</v>
      </c>
      <c r="B17" s="3" t="s">
        <v>172</v>
      </c>
    </row>
    <row r="18" ht="15.75" spans="1:2">
      <c r="A18" s="3" t="s">
        <v>179</v>
      </c>
      <c r="B18" s="3" t="s">
        <v>182</v>
      </c>
    </row>
    <row r="19" ht="15.75" spans="1:2">
      <c r="A19" s="3" t="s">
        <v>189</v>
      </c>
      <c r="B19" s="3" t="s">
        <v>191</v>
      </c>
    </row>
    <row r="20" ht="15.75" spans="1:2">
      <c r="A20" s="3" t="s">
        <v>199</v>
      </c>
      <c r="B20" s="3" t="s">
        <v>201</v>
      </c>
    </row>
    <row r="21" ht="15.75" spans="1:2">
      <c r="A21" s="3" t="s">
        <v>203</v>
      </c>
      <c r="B21" s="3" t="s">
        <v>205</v>
      </c>
    </row>
    <row r="22" ht="15.75" spans="1:2">
      <c r="A22" s="3" t="s">
        <v>210</v>
      </c>
      <c r="B22" s="3" t="s">
        <v>213</v>
      </c>
    </row>
    <row r="23" ht="15.75" spans="1:2">
      <c r="A23" s="3" t="s">
        <v>220</v>
      </c>
      <c r="B23" s="3" t="s">
        <v>222</v>
      </c>
    </row>
    <row r="24" ht="15.75" spans="1:2">
      <c r="A24" s="3" t="s">
        <v>229</v>
      </c>
      <c r="B24" s="3" t="s">
        <v>231</v>
      </c>
    </row>
    <row r="25" ht="15.75" spans="1:2">
      <c r="A25" s="3" t="s">
        <v>237</v>
      </c>
      <c r="B25" s="3" t="s">
        <v>240</v>
      </c>
    </row>
    <row r="26" ht="15.75" spans="1:2">
      <c r="A26" s="3" t="s">
        <v>246</v>
      </c>
      <c r="B26" s="3" t="s">
        <v>248</v>
      </c>
    </row>
    <row r="27" ht="15.75" spans="1:2">
      <c r="A27" s="3" t="s">
        <v>254</v>
      </c>
      <c r="B27" s="3" t="s">
        <v>256</v>
      </c>
    </row>
    <row r="28" ht="15.75" spans="1:2">
      <c r="A28" s="3" t="s">
        <v>263</v>
      </c>
      <c r="B28" s="3" t="s">
        <v>265</v>
      </c>
    </row>
    <row r="29" ht="15.75" spans="1:2">
      <c r="A29" s="3" t="s">
        <v>272</v>
      </c>
      <c r="B29" s="3" t="s">
        <v>274</v>
      </c>
    </row>
    <row r="30" ht="15.75" spans="1:2">
      <c r="A30" s="3" t="s">
        <v>279</v>
      </c>
      <c r="B30" s="3" t="s">
        <v>282</v>
      </c>
    </row>
    <row r="31" ht="15.75" spans="1:2">
      <c r="A31" s="3" t="s">
        <v>289</v>
      </c>
      <c r="B31" s="3" t="s">
        <v>292</v>
      </c>
    </row>
    <row r="32" ht="15.75" spans="1:2">
      <c r="A32" s="3" t="s">
        <v>298</v>
      </c>
      <c r="B32" s="3" t="s">
        <v>300</v>
      </c>
    </row>
    <row r="33" ht="15.75" spans="1:2">
      <c r="A33" s="3" t="s">
        <v>306</v>
      </c>
      <c r="B33" s="3" t="s">
        <v>308</v>
      </c>
    </row>
    <row r="34" ht="15.75" spans="1:2">
      <c r="A34" s="3" t="s">
        <v>314</v>
      </c>
      <c r="B34" s="3" t="s">
        <v>317</v>
      </c>
    </row>
    <row r="35" ht="15.75" spans="1:2">
      <c r="A35" s="3" t="s">
        <v>323</v>
      </c>
      <c r="B35" s="3" t="s">
        <v>325</v>
      </c>
    </row>
    <row r="36" ht="15.75" spans="1:2">
      <c r="A36" s="3" t="s">
        <v>331</v>
      </c>
      <c r="B36" s="3" t="s">
        <v>333</v>
      </c>
    </row>
    <row r="37" ht="15.75" spans="1:2">
      <c r="A37" s="3" t="s">
        <v>340</v>
      </c>
      <c r="B37" s="3" t="s">
        <v>342</v>
      </c>
    </row>
    <row r="38" ht="15.75" spans="1:2">
      <c r="A38" s="3" t="s">
        <v>348</v>
      </c>
      <c r="B38" s="3" t="s">
        <v>351</v>
      </c>
    </row>
    <row r="39" ht="15.75" spans="1:2">
      <c r="A39" s="3" t="s">
        <v>357</v>
      </c>
      <c r="B39" s="3" t="s">
        <v>359</v>
      </c>
    </row>
    <row r="40" ht="15.75" spans="1:2">
      <c r="A40" s="3" t="s">
        <v>368</v>
      </c>
      <c r="B40" s="3" t="s">
        <v>370</v>
      </c>
    </row>
    <row r="41" ht="15.75" spans="1:2">
      <c r="A41" s="3" t="s">
        <v>365</v>
      </c>
      <c r="B41" s="3" t="s">
        <v>367</v>
      </c>
    </row>
    <row r="42" ht="15.75" spans="1:2">
      <c r="A42" s="3" t="s">
        <v>371</v>
      </c>
      <c r="B42" s="3" t="s">
        <v>373</v>
      </c>
    </row>
    <row r="43" ht="15.75" spans="1:2">
      <c r="A43" s="3" t="s">
        <v>379</v>
      </c>
      <c r="B43" s="3" t="s">
        <v>381</v>
      </c>
    </row>
    <row r="44" ht="15.75" spans="1:2">
      <c r="A44" s="3" t="s">
        <v>387</v>
      </c>
      <c r="B44" s="3" t="s">
        <v>389</v>
      </c>
    </row>
    <row r="45" ht="15.75" spans="1:2">
      <c r="A45" s="3" t="s">
        <v>396</v>
      </c>
      <c r="B45" s="3" t="s">
        <v>398</v>
      </c>
    </row>
    <row r="46" ht="15.75" spans="1:2">
      <c r="A46" s="3" t="s">
        <v>404</v>
      </c>
      <c r="B46" s="3" t="s">
        <v>406</v>
      </c>
    </row>
    <row r="47" ht="15.75" spans="1:2">
      <c r="A47" s="3" t="s">
        <v>412</v>
      </c>
      <c r="B47" s="3" t="s">
        <v>414</v>
      </c>
    </row>
    <row r="48" ht="15.75" spans="1:2">
      <c r="A48" s="3" t="s">
        <v>422</v>
      </c>
      <c r="B48" s="3" t="s">
        <v>425</v>
      </c>
    </row>
    <row r="49" ht="15.75" spans="1:2">
      <c r="A49" s="3" t="s">
        <v>426</v>
      </c>
      <c r="B49" s="3" t="s">
        <v>429</v>
      </c>
    </row>
    <row r="50" ht="15.75" spans="1:2">
      <c r="A50" s="3" t="s">
        <v>434</v>
      </c>
      <c r="B50" s="3" t="s">
        <v>436</v>
      </c>
    </row>
    <row r="51" ht="15.75" spans="1:2">
      <c r="A51" s="3" t="s">
        <v>437</v>
      </c>
      <c r="B51" s="3" t="s">
        <v>439</v>
      </c>
    </row>
    <row r="52" ht="15.75" spans="1:2">
      <c r="A52" s="3" t="s">
        <v>443</v>
      </c>
      <c r="B52" s="3" t="s">
        <v>445</v>
      </c>
    </row>
    <row r="53" ht="15.75" spans="1:2">
      <c r="A53" s="3" t="s">
        <v>446</v>
      </c>
      <c r="B53" s="3" t="s">
        <v>448</v>
      </c>
    </row>
    <row r="54" ht="15.75" spans="1:2">
      <c r="A54" s="3" t="s">
        <v>456</v>
      </c>
      <c r="B54" s="3" t="s">
        <v>458</v>
      </c>
    </row>
    <row r="55" ht="15.75" spans="1:2">
      <c r="A55" s="3" t="s">
        <v>464</v>
      </c>
      <c r="B55" s="3" t="s">
        <v>466</v>
      </c>
    </row>
    <row r="56" ht="15.75" spans="1:2">
      <c r="A56" s="3" t="s">
        <v>472</v>
      </c>
      <c r="B56" s="3" t="s">
        <v>474</v>
      </c>
    </row>
    <row r="57" ht="15.75" spans="1:2">
      <c r="A57" s="3" t="s">
        <v>481</v>
      </c>
      <c r="B57" s="3" t="s">
        <v>483</v>
      </c>
    </row>
    <row r="58" ht="15.75" spans="1:2">
      <c r="A58" s="3" t="s">
        <v>484</v>
      </c>
      <c r="B58" s="3" t="s">
        <v>487</v>
      </c>
    </row>
    <row r="59" ht="15.75" spans="1:2">
      <c r="A59" s="3" t="s">
        <v>493</v>
      </c>
      <c r="B59" s="3" t="s">
        <v>496</v>
      </c>
    </row>
    <row r="60" ht="15.75" spans="1:2">
      <c r="A60" s="3" t="s">
        <v>502</v>
      </c>
      <c r="B60" s="3" t="s">
        <v>504</v>
      </c>
    </row>
    <row r="61" ht="15.75" spans="1:2">
      <c r="A61" s="3" t="s">
        <v>511</v>
      </c>
      <c r="B61" s="3" t="s">
        <v>513</v>
      </c>
    </row>
    <row r="62" ht="15.75" spans="1:2">
      <c r="A62" s="3" t="s">
        <v>514</v>
      </c>
      <c r="B62" s="3" t="s">
        <v>516</v>
      </c>
    </row>
    <row r="63" ht="15.75" spans="1:2">
      <c r="A63" s="3" t="s">
        <v>521</v>
      </c>
      <c r="B63" s="3" t="s">
        <v>523</v>
      </c>
    </row>
    <row r="64" ht="15.75" spans="1:2">
      <c r="A64" s="3" t="s">
        <v>530</v>
      </c>
      <c r="B64" s="3" t="s">
        <v>534</v>
      </c>
    </row>
    <row r="65" ht="15.75" spans="1:2">
      <c r="A65" s="3" t="s">
        <v>541</v>
      </c>
      <c r="B65" s="3" t="s">
        <v>543</v>
      </c>
    </row>
    <row r="66" ht="15.75" spans="1:2">
      <c r="A66" s="3" t="s">
        <v>550</v>
      </c>
      <c r="B66" s="3" t="s">
        <v>552</v>
      </c>
    </row>
    <row r="67" ht="15.75" spans="1:2">
      <c r="A67" s="3" t="s">
        <v>558</v>
      </c>
      <c r="B67" s="3" t="s">
        <v>560</v>
      </c>
    </row>
    <row r="68" ht="15.75" spans="1:2">
      <c r="A68" s="3" t="s">
        <v>567</v>
      </c>
      <c r="B68" s="3" t="s">
        <v>569</v>
      </c>
    </row>
    <row r="69" ht="15.75" spans="1:2">
      <c r="A69" s="3" t="s">
        <v>577</v>
      </c>
      <c r="B69" s="3" t="s">
        <v>580</v>
      </c>
    </row>
    <row r="70" ht="15.75" spans="1:2">
      <c r="A70" s="3" t="s">
        <v>586</v>
      </c>
      <c r="B70" s="3" t="s">
        <v>588</v>
      </c>
    </row>
    <row r="71" ht="15.75" spans="1:2">
      <c r="A71" s="3" t="s">
        <v>594</v>
      </c>
      <c r="B71" s="3" t="s">
        <v>596</v>
      </c>
    </row>
    <row r="72" ht="15.75" spans="1:2">
      <c r="A72" s="3" t="s">
        <v>602</v>
      </c>
      <c r="B72" s="3" t="s">
        <v>604</v>
      </c>
    </row>
    <row r="73" ht="15.75" spans="1:2">
      <c r="A73" s="3" t="s">
        <v>611</v>
      </c>
      <c r="B73" s="3" t="s">
        <v>613</v>
      </c>
    </row>
    <row r="74" ht="15.75" spans="1:2">
      <c r="A74" s="3" t="s">
        <v>619</v>
      </c>
      <c r="B74" s="3" t="s">
        <v>621</v>
      </c>
    </row>
    <row r="75" ht="15.75" spans="1:2">
      <c r="A75" s="3" t="s">
        <v>626</v>
      </c>
      <c r="B75" s="3" t="s">
        <v>628</v>
      </c>
    </row>
    <row r="76" ht="15.75" spans="1:2">
      <c r="A76" s="3" t="s">
        <v>635</v>
      </c>
      <c r="B76" s="3" t="s">
        <v>637</v>
      </c>
    </row>
    <row r="77" ht="15.75" spans="1:2">
      <c r="A77" s="3" t="s">
        <v>639</v>
      </c>
      <c r="B77" s="3" t="s">
        <v>641</v>
      </c>
    </row>
    <row r="78" ht="15.75" spans="1:2">
      <c r="A78" s="3" t="s">
        <v>647</v>
      </c>
      <c r="B78" s="3" t="s">
        <v>649</v>
      </c>
    </row>
    <row r="79" ht="15.75" spans="1:2">
      <c r="A79" s="3" t="s">
        <v>668</v>
      </c>
      <c r="B79" s="3" t="s">
        <v>670</v>
      </c>
    </row>
    <row r="80" ht="15.75" spans="1:2">
      <c r="A80" s="3" t="s">
        <v>677</v>
      </c>
      <c r="B80" s="3" t="s">
        <v>679</v>
      </c>
    </row>
    <row r="81" ht="15.75" spans="1:2">
      <c r="A81" s="3" t="s">
        <v>681</v>
      </c>
      <c r="B81" s="3" t="s">
        <v>683</v>
      </c>
    </row>
    <row r="82" ht="15.75" spans="1:2">
      <c r="A82" s="3" t="s">
        <v>689</v>
      </c>
      <c r="B82" s="3" t="s">
        <v>691</v>
      </c>
    </row>
    <row r="83" ht="15.75" spans="1:2">
      <c r="A83" s="3" t="s">
        <v>706</v>
      </c>
      <c r="B83" s="3" t="s">
        <v>708</v>
      </c>
    </row>
    <row r="84" ht="15.75" spans="1:2">
      <c r="A84" s="3" t="s">
        <v>714</v>
      </c>
      <c r="B84" s="3" t="s">
        <v>716</v>
      </c>
    </row>
    <row r="85" ht="15.75" spans="1:2">
      <c r="A85" s="3" t="s">
        <v>726</v>
      </c>
      <c r="B85" s="3" t="s">
        <v>728</v>
      </c>
    </row>
    <row r="86" ht="15.75" spans="1:2">
      <c r="A86" s="3" t="s">
        <v>734</v>
      </c>
      <c r="B86" s="3" t="s">
        <v>736</v>
      </c>
    </row>
    <row r="87" ht="15.75" spans="1:2">
      <c r="A87" s="3" t="s">
        <v>742</v>
      </c>
      <c r="B87" s="3" t="s">
        <v>744</v>
      </c>
    </row>
    <row r="88" ht="15.75" spans="1:2">
      <c r="A88" s="3" t="s">
        <v>750</v>
      </c>
      <c r="B88" s="3" t="s">
        <v>752</v>
      </c>
    </row>
    <row r="89" ht="15.75" spans="1:2">
      <c r="A89" s="3" t="s">
        <v>758</v>
      </c>
      <c r="B89" s="3" t="s">
        <v>760</v>
      </c>
    </row>
    <row r="90" ht="15.75" spans="1:2">
      <c r="A90" s="3" t="s">
        <v>794</v>
      </c>
      <c r="B90" s="3" t="s">
        <v>796</v>
      </c>
    </row>
    <row r="91" ht="15.75" spans="1:2">
      <c r="A91" s="3" t="s">
        <v>801</v>
      </c>
      <c r="B91" s="3" t="s">
        <v>803</v>
      </c>
    </row>
    <row r="92" ht="15.75" spans="1:2">
      <c r="A92" s="3" t="s">
        <v>811</v>
      </c>
      <c r="B92" s="3" t="s">
        <v>813</v>
      </c>
    </row>
    <row r="93" ht="15.75" spans="1:2">
      <c r="A93" s="3" t="s">
        <v>819</v>
      </c>
      <c r="B93" s="3" t="s">
        <v>821</v>
      </c>
    </row>
    <row r="94" ht="15.75" spans="1:2">
      <c r="A94" s="3" t="s">
        <v>828</v>
      </c>
      <c r="B94" s="3" t="s">
        <v>830</v>
      </c>
    </row>
    <row r="95" ht="15.75" spans="1:2">
      <c r="A95" s="3" t="s">
        <v>837</v>
      </c>
      <c r="B95" s="3" t="s">
        <v>839</v>
      </c>
    </row>
    <row r="96" ht="15.75" spans="1:2">
      <c r="A96" s="3" t="s">
        <v>845</v>
      </c>
      <c r="B96" s="3" t="s">
        <v>847</v>
      </c>
    </row>
    <row r="97" ht="15.75" spans="1:2">
      <c r="A97" s="3" t="s">
        <v>853</v>
      </c>
      <c r="B97" s="3" t="s">
        <v>855</v>
      </c>
    </row>
    <row r="98" ht="15.75" spans="1:2">
      <c r="A98" s="3" t="s">
        <v>861</v>
      </c>
      <c r="B98" s="3" t="s">
        <v>863</v>
      </c>
    </row>
    <row r="99" ht="15.75" spans="1:2">
      <c r="A99" s="3" t="s">
        <v>876</v>
      </c>
      <c r="B99" s="3" t="s">
        <v>878</v>
      </c>
    </row>
    <row r="100" ht="15.75" spans="1:2">
      <c r="A100" s="3" t="s">
        <v>883</v>
      </c>
      <c r="B100" s="3" t="s">
        <v>885</v>
      </c>
    </row>
    <row r="101" ht="15.75" spans="1:2">
      <c r="A101" s="3" t="s">
        <v>897</v>
      </c>
      <c r="B101" s="3" t="s">
        <v>899</v>
      </c>
    </row>
    <row r="102" ht="15.75" spans="1:2">
      <c r="A102" s="3" t="s">
        <v>906</v>
      </c>
      <c r="B102" s="3" t="s">
        <v>908</v>
      </c>
    </row>
    <row r="103" ht="15.75" spans="1:2">
      <c r="A103" s="3" t="s">
        <v>913</v>
      </c>
      <c r="B103" s="3" t="s">
        <v>915</v>
      </c>
    </row>
    <row r="104" ht="15.75" spans="1:2">
      <c r="A104" s="3" t="s">
        <v>921</v>
      </c>
      <c r="B104" s="3" t="s">
        <v>923</v>
      </c>
    </row>
    <row r="105" ht="15.75" spans="1:2">
      <c r="A105" s="3" t="s">
        <v>930</v>
      </c>
      <c r="B105" s="3" t="s">
        <v>932</v>
      </c>
    </row>
    <row r="106" ht="15.75" spans="1:2">
      <c r="A106" s="3" t="s">
        <v>938</v>
      </c>
      <c r="B106" s="3" t="s">
        <v>940</v>
      </c>
    </row>
    <row r="107" ht="15.75" spans="1:2">
      <c r="A107" s="3" t="s">
        <v>946</v>
      </c>
      <c r="B107" s="3" t="s">
        <v>948</v>
      </c>
    </row>
    <row r="108" ht="15.75" spans="1:2">
      <c r="A108" s="3" t="s">
        <v>953</v>
      </c>
      <c r="B108" s="3" t="s">
        <v>955</v>
      </c>
    </row>
    <row r="109" ht="15.75" spans="1:2">
      <c r="A109" s="3" t="s">
        <v>960</v>
      </c>
      <c r="B109" s="3" t="s">
        <v>963</v>
      </c>
    </row>
    <row r="110" ht="15.75" spans="1:2">
      <c r="A110" s="3" t="s">
        <v>971</v>
      </c>
      <c r="B110" s="3" t="s">
        <v>973</v>
      </c>
    </row>
    <row r="111" ht="15.75" spans="1:2">
      <c r="A111" s="3" t="s">
        <v>979</v>
      </c>
      <c r="B111" s="3" t="s">
        <v>981</v>
      </c>
    </row>
    <row r="112" ht="15.75" spans="1:2">
      <c r="A112" s="3" t="s">
        <v>987</v>
      </c>
      <c r="B112" s="3" t="s">
        <v>989</v>
      </c>
    </row>
    <row r="113" ht="15.75" spans="1:2">
      <c r="A113" s="3" t="s">
        <v>995</v>
      </c>
      <c r="B113" s="3" t="s">
        <v>997</v>
      </c>
    </row>
    <row r="114" ht="15.75" spans="1:2">
      <c r="A114" s="3" t="s">
        <v>1003</v>
      </c>
      <c r="B114" s="3" t="s">
        <v>1005</v>
      </c>
    </row>
    <row r="115" ht="15.75" spans="1:2">
      <c r="A115" s="3" t="s">
        <v>1011</v>
      </c>
      <c r="B115" s="3" t="s">
        <v>1013</v>
      </c>
    </row>
    <row r="116" ht="15.75" spans="1:2">
      <c r="A116" s="3" t="s">
        <v>1018</v>
      </c>
      <c r="B116" s="3" t="s">
        <v>1020</v>
      </c>
    </row>
    <row r="117" ht="15.75" spans="1:2">
      <c r="A117" s="3" t="s">
        <v>1021</v>
      </c>
      <c r="B117" s="3" t="s">
        <v>1023</v>
      </c>
    </row>
    <row r="118" ht="15.75" spans="1:2">
      <c r="A118" s="3" t="s">
        <v>1156</v>
      </c>
      <c r="B118" s="3" t="s">
        <v>1158</v>
      </c>
    </row>
    <row r="119" ht="15.75" spans="1:2">
      <c r="A119" s="3" t="s">
        <v>1164</v>
      </c>
      <c r="B119" s="3" t="s">
        <v>1166</v>
      </c>
    </row>
    <row r="120" ht="15.75" spans="1:2">
      <c r="A120" s="3" t="s">
        <v>1171</v>
      </c>
      <c r="B120" s="3" t="s">
        <v>1173</v>
      </c>
    </row>
    <row r="121" ht="15.75" spans="1:2">
      <c r="A121" s="3" t="s">
        <v>1174</v>
      </c>
      <c r="B121" s="3" t="s">
        <v>1176</v>
      </c>
    </row>
    <row r="122" ht="15.75" spans="1:2">
      <c r="A122" s="3" t="s">
        <v>1219</v>
      </c>
      <c r="B122" s="3" t="s">
        <v>1221</v>
      </c>
    </row>
    <row r="123" ht="15.75" spans="1:2">
      <c r="A123" s="3" t="s">
        <v>1228</v>
      </c>
      <c r="B123" s="3" t="s">
        <v>1230</v>
      </c>
    </row>
    <row r="124" ht="15.75" spans="1:2">
      <c r="A124" s="3" t="s">
        <v>1264</v>
      </c>
      <c r="B124" s="3" t="s">
        <v>1266</v>
      </c>
    </row>
    <row r="125" ht="15.75" spans="1:2">
      <c r="A125" s="3" t="s">
        <v>1273</v>
      </c>
      <c r="B125" s="3" t="s">
        <v>1275</v>
      </c>
    </row>
    <row r="126" ht="15.75" spans="1:2">
      <c r="A126" s="3" t="s">
        <v>1281</v>
      </c>
      <c r="B126" s="3" t="s">
        <v>1283</v>
      </c>
    </row>
    <row r="127" ht="15.75" spans="1:2">
      <c r="A127" s="3" t="s">
        <v>1289</v>
      </c>
      <c r="B127" s="3" t="s">
        <v>1291</v>
      </c>
    </row>
    <row r="128" ht="15.75" spans="1:2">
      <c r="A128" s="3" t="s">
        <v>1304</v>
      </c>
      <c r="B128" s="3" t="s">
        <v>1306</v>
      </c>
    </row>
    <row r="129" ht="15.75" spans="1:2">
      <c r="A129" s="3" t="s">
        <v>1312</v>
      </c>
      <c r="B129" s="3" t="s">
        <v>1314</v>
      </c>
    </row>
    <row r="130" ht="15.75" spans="1:2">
      <c r="A130" s="3" t="s">
        <v>1315</v>
      </c>
      <c r="B130" s="3" t="s">
        <v>1317</v>
      </c>
    </row>
    <row r="131" ht="15.75" spans="1:2">
      <c r="A131" s="3" t="s">
        <v>1324</v>
      </c>
      <c r="B131" s="3" t="s">
        <v>1326</v>
      </c>
    </row>
    <row r="132" ht="15.75" spans="1:2">
      <c r="A132" s="3" t="s">
        <v>1332</v>
      </c>
      <c r="B132" s="3" t="s">
        <v>1335</v>
      </c>
    </row>
    <row r="133" ht="15.75" spans="1:2">
      <c r="A133" s="3" t="s">
        <v>1342</v>
      </c>
      <c r="B133" s="3" t="s">
        <v>1344</v>
      </c>
    </row>
    <row r="134" ht="15.75" spans="1:2">
      <c r="A134" s="3" t="s">
        <v>1353</v>
      </c>
      <c r="B134" s="3" t="s">
        <v>1355</v>
      </c>
    </row>
    <row r="135" ht="15.75" spans="1:2">
      <c r="A135" s="3" t="s">
        <v>1364</v>
      </c>
      <c r="B135" s="3" t="s">
        <v>1366</v>
      </c>
    </row>
    <row r="136" ht="15.75" spans="1:2">
      <c r="A136" s="3" t="s">
        <v>1372</v>
      </c>
      <c r="B136" s="3" t="s">
        <v>1374</v>
      </c>
    </row>
    <row r="137" ht="15.75" spans="1:2">
      <c r="A137" s="3" t="s">
        <v>1380</v>
      </c>
      <c r="B137" s="3" t="s">
        <v>1382</v>
      </c>
    </row>
    <row r="138" ht="15.75" spans="1:2">
      <c r="A138" s="3" t="s">
        <v>1387</v>
      </c>
      <c r="B138" s="3" t="s">
        <v>1389</v>
      </c>
    </row>
    <row r="139" ht="15.75" spans="1:2">
      <c r="A139" s="3" t="s">
        <v>1395</v>
      </c>
      <c r="B139" s="3" t="s">
        <v>1397</v>
      </c>
    </row>
    <row r="140" ht="15.75" spans="1:2">
      <c r="A140" s="3" t="s">
        <v>1403</v>
      </c>
      <c r="B140" s="3" t="s">
        <v>1405</v>
      </c>
    </row>
    <row r="141" ht="15.75" spans="1:2">
      <c r="A141" s="3" t="s">
        <v>1410</v>
      </c>
      <c r="B141" s="3" t="s">
        <v>1412</v>
      </c>
    </row>
    <row r="142" ht="15.75" spans="1:2">
      <c r="A142" s="3" t="s">
        <v>1417</v>
      </c>
      <c r="B142" s="3" t="s">
        <v>1419</v>
      </c>
    </row>
    <row r="143" ht="15.75" spans="1:2">
      <c r="A143" s="3" t="s">
        <v>1425</v>
      </c>
      <c r="B143" s="3" t="s">
        <v>1427</v>
      </c>
    </row>
    <row r="144" ht="15.75" spans="1:2">
      <c r="A144" s="3" t="s">
        <v>1433</v>
      </c>
      <c r="B144" s="3" t="s">
        <v>1435</v>
      </c>
    </row>
    <row r="145" ht="15.75" spans="1:2">
      <c r="A145" s="3" t="s">
        <v>1441</v>
      </c>
      <c r="B145" s="3" t="s">
        <v>1443</v>
      </c>
    </row>
    <row r="146" ht="15.75" spans="1:2">
      <c r="A146" s="3" t="s">
        <v>1449</v>
      </c>
      <c r="B146" s="3" t="s">
        <v>1451</v>
      </c>
    </row>
    <row r="147" ht="15.75" spans="1:2">
      <c r="A147" s="3" t="s">
        <v>1457</v>
      </c>
      <c r="B147" s="3" t="s">
        <v>1460</v>
      </c>
    </row>
    <row r="148" ht="15.75" spans="1:2">
      <c r="A148" s="3" t="s">
        <v>1466</v>
      </c>
      <c r="B148" s="3" t="s">
        <v>1469</v>
      </c>
    </row>
    <row r="149" ht="15.75" spans="1:2">
      <c r="A149" s="3" t="s">
        <v>1475</v>
      </c>
      <c r="B149" s="3" t="s">
        <v>1478</v>
      </c>
    </row>
    <row r="150" ht="15.75" spans="1:2">
      <c r="A150" s="3" t="s">
        <v>1485</v>
      </c>
      <c r="B150" s="3" t="s">
        <v>1488</v>
      </c>
    </row>
    <row r="151" ht="15.75" spans="1:2">
      <c r="A151" s="3" t="s">
        <v>1494</v>
      </c>
      <c r="B151" s="3" t="s">
        <v>1497</v>
      </c>
    </row>
    <row r="152" ht="15.75" spans="1:2">
      <c r="A152" s="3" t="s">
        <v>1502</v>
      </c>
      <c r="B152" s="3" t="s">
        <v>1505</v>
      </c>
    </row>
    <row r="153" ht="15.75" spans="1:2">
      <c r="A153" s="3" t="s">
        <v>1511</v>
      </c>
      <c r="B153" s="3" t="s">
        <v>1514</v>
      </c>
    </row>
    <row r="154" ht="15.75" spans="1:2">
      <c r="A154" s="3" t="s">
        <v>1521</v>
      </c>
      <c r="B154" s="3" t="s">
        <v>1523</v>
      </c>
    </row>
    <row r="155" ht="15.75" spans="1:2">
      <c r="A155" s="3" t="s">
        <v>1530</v>
      </c>
      <c r="B155" s="3" t="s">
        <v>1532</v>
      </c>
    </row>
    <row r="156" ht="15.75" spans="1:2">
      <c r="A156" s="3" t="s">
        <v>1538</v>
      </c>
      <c r="B156" s="3" t="s">
        <v>1540</v>
      </c>
    </row>
    <row r="157" spans="1:2">
      <c r="A157" s="4" t="s">
        <v>658</v>
      </c>
      <c r="B157" s="4" t="s">
        <v>660</v>
      </c>
    </row>
    <row r="158" spans="1:2">
      <c r="A158" s="4" t="s">
        <v>698</v>
      </c>
      <c r="B158" s="4" t="s">
        <v>700</v>
      </c>
    </row>
    <row r="159" spans="1:2">
      <c r="A159" s="4" t="s">
        <v>717</v>
      </c>
      <c r="B159" s="4" t="s">
        <v>720</v>
      </c>
    </row>
    <row r="160" spans="1:2">
      <c r="A160" s="4" t="s">
        <v>765</v>
      </c>
      <c r="B160" s="4" t="s">
        <v>766</v>
      </c>
    </row>
    <row r="161" spans="1:2">
      <c r="A161" s="4" t="s">
        <v>772</v>
      </c>
      <c r="B161" s="4" t="s">
        <v>773</v>
      </c>
    </row>
    <row r="162" spans="1:2">
      <c r="A162" s="4" t="s">
        <v>779</v>
      </c>
      <c r="B162" s="4" t="s">
        <v>780</v>
      </c>
    </row>
    <row r="163" spans="1:2">
      <c r="A163" s="4" t="s">
        <v>787</v>
      </c>
      <c r="B163" s="4" t="s">
        <v>788</v>
      </c>
    </row>
    <row r="164" spans="1:2">
      <c r="A164" s="4" t="s">
        <v>869</v>
      </c>
      <c r="B164" s="4" t="s">
        <v>870</v>
      </c>
    </row>
    <row r="165" spans="1:2">
      <c r="A165" s="4" t="s">
        <v>890</v>
      </c>
      <c r="B165" s="4" t="s">
        <v>891</v>
      </c>
    </row>
    <row r="166" spans="1:2">
      <c r="A166" s="4" t="s">
        <v>1029</v>
      </c>
      <c r="B166" s="4" t="s">
        <v>1030</v>
      </c>
    </row>
    <row r="167" spans="1:2">
      <c r="A167" s="4" t="s">
        <v>1036</v>
      </c>
      <c r="B167" s="4" t="s">
        <v>1037</v>
      </c>
    </row>
    <row r="168" spans="1:2">
      <c r="A168" s="4" t="s">
        <v>1043</v>
      </c>
      <c r="B168" s="4" t="s">
        <v>1044</v>
      </c>
    </row>
    <row r="169" spans="1:2">
      <c r="A169" s="4" t="s">
        <v>1050</v>
      </c>
      <c r="B169" s="4" t="s">
        <v>1051</v>
      </c>
    </row>
    <row r="170" spans="1:2">
      <c r="A170" s="4" t="s">
        <v>1057</v>
      </c>
      <c r="B170" s="4" t="s">
        <v>1058</v>
      </c>
    </row>
    <row r="171" spans="1:2">
      <c r="A171" s="4" t="s">
        <v>1064</v>
      </c>
      <c r="B171" s="4" t="s">
        <v>1065</v>
      </c>
    </row>
    <row r="172" spans="1:2">
      <c r="A172" s="4" t="s">
        <v>1071</v>
      </c>
      <c r="B172" s="4" t="s">
        <v>1072</v>
      </c>
    </row>
    <row r="173" spans="1:2">
      <c r="A173" s="4" t="s">
        <v>1078</v>
      </c>
      <c r="B173" s="4" t="s">
        <v>1079</v>
      </c>
    </row>
    <row r="174" spans="1:2">
      <c r="A174" s="4" t="s">
        <v>1085</v>
      </c>
      <c r="B174" s="4" t="s">
        <v>1086</v>
      </c>
    </row>
    <row r="175" spans="1:2">
      <c r="A175" s="4" t="s">
        <v>1092</v>
      </c>
      <c r="B175" s="4" t="s">
        <v>1093</v>
      </c>
    </row>
    <row r="176" spans="1:2">
      <c r="A176" s="4" t="s">
        <v>1099</v>
      </c>
      <c r="B176" s="4" t="s">
        <v>1100</v>
      </c>
    </row>
    <row r="177" spans="1:2">
      <c r="A177" s="4" t="s">
        <v>1106</v>
      </c>
      <c r="B177" s="4" t="s">
        <v>1107</v>
      </c>
    </row>
    <row r="178" spans="1:2">
      <c r="A178" s="4" t="s">
        <v>1113</v>
      </c>
      <c r="B178" s="4" t="s">
        <v>1114</v>
      </c>
    </row>
    <row r="179" spans="1:2">
      <c r="A179" s="4" t="s">
        <v>1120</v>
      </c>
      <c r="B179" s="4" t="s">
        <v>1121</v>
      </c>
    </row>
    <row r="180" spans="1:2">
      <c r="A180" s="4" t="s">
        <v>1127</v>
      </c>
      <c r="B180" s="4" t="s">
        <v>1128</v>
      </c>
    </row>
    <row r="181" spans="1:2">
      <c r="A181" s="4" t="s">
        <v>1134</v>
      </c>
      <c r="B181" s="4" t="s">
        <v>1135</v>
      </c>
    </row>
    <row r="182" spans="1:2">
      <c r="A182" s="4" t="s">
        <v>1141</v>
      </c>
      <c r="B182" s="4" t="s">
        <v>1143</v>
      </c>
    </row>
    <row r="183" spans="1:2">
      <c r="A183" s="4" t="s">
        <v>1149</v>
      </c>
      <c r="B183" s="4" t="s">
        <v>1150</v>
      </c>
    </row>
    <row r="184" spans="1:2">
      <c r="A184" s="4" t="s">
        <v>1183</v>
      </c>
      <c r="B184" s="4" t="s">
        <v>1184</v>
      </c>
    </row>
    <row r="185" spans="1:2">
      <c r="A185" s="4" t="s">
        <v>1190</v>
      </c>
      <c r="B185" s="4" t="s">
        <v>1191</v>
      </c>
    </row>
    <row r="186" spans="1:2">
      <c r="A186" s="4" t="s">
        <v>1197</v>
      </c>
      <c r="B186" s="4" t="s">
        <v>1198</v>
      </c>
    </row>
    <row r="187" spans="1:2">
      <c r="A187" s="4" t="s">
        <v>1204</v>
      </c>
      <c r="B187" s="4" t="s">
        <v>1206</v>
      </c>
    </row>
    <row r="188" spans="1:2">
      <c r="A188" s="4" t="s">
        <v>1212</v>
      </c>
      <c r="B188" s="4" t="s">
        <v>1213</v>
      </c>
    </row>
    <row r="189" spans="1:2">
      <c r="A189" s="4" t="s">
        <v>1236</v>
      </c>
      <c r="B189" s="4" t="s">
        <v>1237</v>
      </c>
    </row>
    <row r="190" spans="1:2">
      <c r="A190" s="4" t="s">
        <v>1243</v>
      </c>
      <c r="B190" s="4" t="s">
        <v>1244</v>
      </c>
    </row>
    <row r="191" spans="1:2">
      <c r="A191" s="4" t="s">
        <v>1250</v>
      </c>
      <c r="B191" s="4" t="s">
        <v>1251</v>
      </c>
    </row>
    <row r="192" spans="1:2">
      <c r="A192" s="4" t="s">
        <v>1257</v>
      </c>
      <c r="B192" s="4" t="s">
        <v>1258</v>
      </c>
    </row>
    <row r="193" spans="1:2">
      <c r="A193" s="4" t="s">
        <v>1297</v>
      </c>
      <c r="B193" s="4" t="s">
        <v>1298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WPS_1557904004</cp:lastModifiedBy>
  <dcterms:created xsi:type="dcterms:W3CDTF">2006-09-16T00:00:00Z</dcterms:created>
  <dcterms:modified xsi:type="dcterms:W3CDTF">2026-06-02T05:29:51Z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B47D99C8239447C5BB7EF7ED7C915B7D_12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